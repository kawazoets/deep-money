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e97607259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5c01d636291f49be"/>
    <x:sheet xmlns:r="http://schemas.openxmlformats.org/officeDocument/2006/relationships" name="Sources" sheetId="2" r:id="R2793ddd066be4c27"/>
    <x:sheet xmlns:r="http://schemas.openxmlformats.org/officeDocument/2006/relationships" name="Read_Me" sheetId="3" r:id="Rc636f2596d794ea0"/>
    <x:sheet xmlns:r="http://schemas.openxmlformats.org/officeDocument/2006/relationships" name="Universe" sheetId="4" r:id="R3811e1d439584f18"/>
    <x:sheet xmlns:r="http://schemas.openxmlformats.org/officeDocument/2006/relationships" name="Case_Study_3" sheetId="5" r:id="Rc64a18729bd342a9"/>
    <x:sheet xmlns:r="http://schemas.openxmlformats.org/officeDocument/2006/relationships" name="Bottom20_Screen" sheetId="6" r:id="R2bc122e4a7de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4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</x:cellXfs>
  <x:cellStyles count="1">
    <x:cellStyle name="Normal" xfId="0"/>
  </x:cellStyles>
  <x:dxfs count="6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84a5e1b75412f" /><Relationship Type="http://schemas.openxmlformats.org/officeDocument/2006/relationships/theme" Target="/xl/theme/theme1.xml" Id="R0b1f70b7eb984fd1" /><Relationship Type="http://schemas.openxmlformats.org/officeDocument/2006/relationships/sharedStrings" Target="/xl/sharedStrings.xml" Id="R18ee487b1022474a" /><Relationship Type="http://schemas.openxmlformats.org/officeDocument/2006/relationships/worksheet" Target="/xl/worksheets/sheet1.xml" Id="R5c01d636291f49be" /><Relationship Type="http://schemas.openxmlformats.org/officeDocument/2006/relationships/worksheet" Target="/xl/worksheets/sheet2.xml" Id="R2793ddd066be4c27" /><Relationship Type="http://schemas.openxmlformats.org/officeDocument/2006/relationships/worksheet" Target="/xl/worksheets/sheet3.xml" Id="Rc636f2596d794ea0" /><Relationship Type="http://schemas.openxmlformats.org/officeDocument/2006/relationships/worksheet" Target="/xl/worksheets/sheet4.xml" Id="R3811e1d439584f18" /><Relationship Type="http://schemas.openxmlformats.org/officeDocument/2006/relationships/worksheet" Target="/xl/worksheets/sheet5.xml" Id="Rc64a18729bd342a9" /><Relationship Type="http://schemas.openxmlformats.org/officeDocument/2006/relationships/worksheet" Target="/xl/worksheets/sheet6.xml" Id="R2bc122e4a7de4f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a1dd1d97174c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Bottom-20: ΔEVE / Capital (19 Verified)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ΔEVE / Capital</c:v>
          </c:tx>
          <c:cat>
            <c:strRef>
              <c:f>'Bottom20_Screen'!$B$2:$B$21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'Bottom20_Screen'!$I$2:$I$21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a1dd1d97174c0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b50d282733c14b9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  <x:row r="22">
      <x:c r="A22" s="36" t="str">
        <x:v>Phase 1B pilot</x:v>
      </x:c>
      <x:c r="B22" s="12" t="str">
        <x:v>Case_Study_3 compares Kochi, Wakkanai, and Tsu using 2025-03 disclosures.</x:v>
      </x:c>
    </x:row>
    <x:row r="23">
      <x:c r="A23" s="36" t="str">
        <x:v>Key metric</x:v>
      </x:c>
      <x:c r="B23" s="12" t="str">
        <x:v>ΔEVE / IRRBB Capital distinguishes balance-sheet interest-rate sensitivity from simple securities size.</x:v>
      </x:c>
    </x:row>
    <x:row r="24">
      <x:c r="A24" s="36" t="str">
        <x:v>Next step</x:v>
      </x:c>
      <x:c r="B24" s="12" t="str">
        <x:v>Expand the same fields to the bottom 20 Loan/Deposit institutions, then identify structural clusters.</x:v>
      </x:c>
    </x:row>
    <x:row r="26">
      <x:c r="A26" s="36" t="str">
        <x:v>Bottom-20 screen</x:v>
      </x:c>
      <x:c r="B26" s="12" t="str">
        <x:v>Created from the nationwide 2025-03 loan-to-deposit ranking.</x:v>
      </x:c>
    </x:row>
    <x:row r="27">
      <x:c r="A27" s="36" t="str">
        <x:v>IRRBB verified</x:v>
      </x:c>
      <x:c r="B27" s="12" t="str">
        <x:v>10 of 20 institutions currently have official 2025 ΔEVE and IRRBB capital extracted.</x:v>
      </x:c>
    </x:row>
    <x:row r="28">
      <x:c r="A28" s="36" t="str">
        <x:v>Interpretation</x:v>
      </x:c>
      <x:c r="B28" s="12" t="str">
        <x:v>Loan-to-deposit is the entry screen only. ΔEVE/Capital is used to separate low-L/D institutions with very different interest-rate risk structures.</x:v>
      </x:c>
    </x:row>
    <x:row r="29">
      <x:c r="A29" s="36" t="str">
        <x:v>Next step</x:v>
      </x:c>
      <x:c r="B29" s="12" t="str">
        <x:v>Complete IRRBB extraction for the remaining 10 institutions, then add securities/deposit and duration structure for the high-sensitivity cluster.</x:v>
      </x:c>
    </x:row>
    <x:row r="31">
      <x:c r="A31" s="36" t="str">
        <x:v>Bottom-20 IRRBB status</x:v>
      </x:c>
      <x:c r="B31" s="12" t="str">
        <x:v>19 of 20 institutions now have FY2024 / 2025-03 official ΔEVE and IRRBB capital values extracted.</x:v>
      </x:c>
    </x:row>
    <x:row r="32">
      <x:c r="A32" s="36" t="str">
        <x:v>Remaining source</x:v>
      </x:c>
      <x:c r="B32" s="12" t="str">
        <x:v>Chunan Shinkin Bank: official 2025 disclosure is identified, but the 35.8MB PDF has not yet yielded a reliable IRRBB table extraction.</x:v>
      </x:c>
    </x:row>
    <x:row r="33">
      <x:c r="A33" s="36" t="str">
        <x:v>Data integrity rule</x:v>
      </x:c>
      <x:c r="B33" s="12" t="str">
        <x:v>No value is backfilled from older reports when the target-year IRRBB figure cannot be verified.</x:v>
      </x:c>
    </x:row>
    <x:row r="34">
      <x:c r="A34" s="36" t="str">
        <x:v>Emerging pattern</x:v>
      </x:c>
      <x:c r="B34" s="12" t="str">
        <x:v>Several low-L/D institutions have ΔEVE/Capital above 50%, while others are around or below 30%; low L/D alone does not determine rate sensitivity.</x:v>
      </x:c>
    </x:row>
    <x:row r="35">
      <x:c r="A35" s="36" t="str">
        <x:v>Next step</x:v>
      </x:c>
      <x:c r="B35" s="12" t="str">
        <x:v>Resolve Chunan, then add securities/deposit, JGB share, and residual maturity data for the high-sensitivity cluster.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IRRBB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IRRBB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IRRBB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IRRBB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IRRBB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IRRBB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IRRBB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IRRBB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IRRBB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IRRBB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IRRBB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IRRBB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IRRBB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IRRBB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IRRBB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IRRBB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IRRBB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IRRBB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IRRBB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9" hidden="0" customWidth="1"/>
    <x:col min="8" max="8" width="20" hidden="0" customWidth="1"/>
    <x:col min="9" max="9" width="16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52" hidden="0" customWidth="1"/>
    <x:col min="17" max="17" width="52" hidden="0" customWidth="1"/>
  </x:cols>
  <x:sheetData>
    <x:row r="1">
      <x:c r="A1" s="71" t="str">
        <x:v>Institution</x:v>
      </x:c>
      <x:c r="B1" s="71" t="str">
        <x:v>Prefecture</x:v>
      </x:c>
      <x:c r="C1" s="71" t="str">
        <x:v>Reference Date</x:v>
      </x:c>
      <x:c r="D1" s="71" t="str">
        <x:v>Deposits (JPY mm)</x:v>
      </x:c>
      <x:c r="E1" s="71" t="str">
        <x:v>Loans (JPY mm)</x:v>
      </x:c>
      <x:c r="F1" s="71" t="str">
        <x:v>Loan / Deposit</x:v>
      </x:c>
      <x:c r="G1" s="71" t="str">
        <x:v>Securities EOP (JPY mm)</x:v>
      </x:c>
      <x:c r="H1" s="71" t="str">
        <x:v>Reported Securities / Deposit</x:v>
      </x:c>
      <x:c r="I1" s="71" t="str">
        <x:v>JGB EOP (JPY mm)</x:v>
      </x:c>
      <x:c r="J1" s="71" t="str">
        <x:v>Bonds 10Y+ (JPY mm)</x:v>
      </x:c>
      <x:c r="K1" s="71" t="str">
        <x:v>ΔEVE Max (JPY mm)</x:v>
      </x:c>
      <x:c r="L1" s="71" t="str">
        <x:v>IRRBB Capital (JPY mm)</x:v>
      </x:c>
      <x:c r="M1" s="71" t="str">
        <x:v>ΔEVE / Capital</x:v>
      </x:c>
      <x:c r="N1" s="71" t="str">
        <x:v>Capital Adequacy Ratio</x:v>
      </x:c>
      <x:c r="O1" s="71" t="str">
        <x:v>NPL Ratio</x:v>
      </x:c>
      <x:c r="P1" s="71" t="str">
        <x:v>Primary Source</x:v>
      </x:c>
      <x:c r="Q1" s="71" t="str">
        <x:v>Notes</x:v>
      </x:c>
    </x:row>
    <x:row r="2">
      <x:c r="A2" s="12" t="str">
        <x:v>高知信用金庫</x:v>
      </x:c>
      <x:c r="B2" s="12" t="str">
        <x:v>高知県</x:v>
      </x:c>
      <x:c r="C2" s="12" t="str">
        <x:v>2025-03-31</x:v>
      </x:c>
      <x:c r="D2" s="19" t="n">
        <x:v>872968</x:v>
      </x:c>
      <x:c r="E2" s="19" t="n">
        <x:v>81348</x:v>
      </x:c>
      <x:c r="F2" s="24" t="n">
        <x:f>IFERROR(E2/D2,"")</x:f>
        <x:v>0.09318554632014003</x:v>
      </x:c>
      <x:c r="G2" s="19" t="n">
        <x:v>871882</x:v>
      </x:c>
      <x:c r="H2" s="20" t="n">
        <x:v>0.9987</x:v>
      </x:c>
      <x:c r="I2" s="19" t="n">
        <x:v>169225</x:v>
      </x:c>
      <x:c r="J2" s="19" t="n">
        <x:v>259871</x:v>
      </x:c>
      <x:c r="K2" s="19" t="n">
        <x:v>50128</x:v>
      </x:c>
      <x:c r="L2" s="19" t="n">
        <x:v>257964</x:v>
      </x:c>
      <x:c r="M2" s="24" t="n">
        <x:f>IFERROR(K2/L2,"")</x:f>
        <x:v>0.19432168829759192</x:v>
      </x:c>
      <x:c r="N2" s="20" t="n">
        <x:v>0.5602</x:v>
      </x:c>
      <x:c r="O2" s="20" t="n">
        <x:v>0.004699999999999999</x:v>
      </x:c>
      <x:c r="P2" s="18" t="str">
        <x:v>https://www.combank.co.jp/report/reportall.pdf</x:v>
      </x:c>
      <x:c r="Q2" s="18" t="str">
        <x:v>Nationwide lowest L/D. Securities at year-end were almost equal to deposits; long-duration bond exposure is material, but disclosed ΔEVE/Capital is below 20%.</x:v>
      </x:c>
    </x:row>
    <x:row r="3">
      <x:c r="A3" s="12" t="str">
        <x:v>稚内信用金庫</x:v>
      </x:c>
      <x:c r="B3" s="12" t="str">
        <x:v>北海道</x:v>
      </x:c>
      <x:c r="C3" s="12" t="str">
        <x:v>2025-03-31</x:v>
      </x:c>
      <x:c r="D3" s="19" t="n">
        <x:v>464435</x:v>
      </x:c>
      <x:c r="E3" s="19" t="n">
        <x:v>80227</x:v>
      </x:c>
      <x:c r="F3" s="24" t="n">
        <x:f>IFERROR(E3/D3,"")</x:f>
        <x:v>0.17274107248592377</x:v>
      </x:c>
      <x:c r="G3" s="19"/>
      <x:c r="H3" s="20" t="n">
        <x:v>0.5512</x:v>
      </x:c>
      <x:c r="I3" s="19" t="n">
        <x:v>245820</x:v>
      </x:c>
      <x:c r="J3" s="19" t="n">
        <x:v>217318</x:v>
      </x:c>
      <x:c r="K3" s="19" t="n">
        <x:v>39677</x:v>
      </x:c>
      <x:c r="L3" s="19" t="n">
        <x:v>53186</x:v>
      </x:c>
      <x:c r="M3" s="24" t="n">
        <x:f>IFERROR(K3/L3,"")</x:f>
        <x:v>0.7460045876734479</x:v>
      </x:c>
      <x:c r="N3" s="20" t="n">
        <x:v>0.6186</x:v>
      </x:c>
      <x:c r="O3" s="20" t="n">
        <x:v>0.048600000000000004</x:v>
      </x:c>
      <x:c r="P3" s="18" t="str">
        <x:v>https://www.shinkin.co.jp/wakashin/assets/pdf/07-disclo/year-2025_2024-r06-81-2/81-2_all.pdf</x:v>
      </x:c>
      <x:c r="Q3" s="18" t="str">
        <x:v>Very low L/D and high JGB concentration. Disclosed ΔEVE/Capital is exceptionally high despite very high regulatory capital adequacy.</x:v>
      </x:c>
    </x:row>
    <x:row r="4">
      <x:c r="A4" s="12" t="str">
        <x:v>津信用金庫</x:v>
      </x:c>
      <x:c r="B4" s="12" t="str">
        <x:v>三重県</x:v>
      </x:c>
      <x:c r="C4" s="12" t="str">
        <x:v>2025-03-31</x:v>
      </x:c>
      <x:c r="D4" s="19" t="n">
        <x:v>85664</x:v>
      </x:c>
      <x:c r="E4" s="19" t="n">
        <x:v>16446</x:v>
      </x:c>
      <x:c r="F4" s="24" t="n">
        <x:f>IFERROR(E4/D4,"")</x:f>
        <x:v>0.19198262980948824</x:v>
      </x:c>
      <x:c r="G4" s="19" t="n">
        <x:v>40895</x:v>
      </x:c>
      <x:c r="H4" s="20" t="n">
        <x:v>0.4773</x:v>
      </x:c>
      <x:c r="I4" s="19" t="n">
        <x:v>2261</x:v>
      </x:c>
      <x:c r="J4" s="19" t="n">
        <x:v>12844</x:v>
      </x:c>
      <x:c r="K4" s="19" t="n">
        <x:v>3842</x:v>
      </x:c>
      <x:c r="L4" s="19" t="n">
        <x:v>9461</x:v>
      </x:c>
      <x:c r="M4" s="24" t="n">
        <x:f>IFERROR(K4/L4,"")</x:f>
        <x:v>0.40608815135820736</x:v>
      </x:c>
      <x:c r="N4" s="20" t="n">
        <x:v>0.2284</x:v>
      </x:c>
      <x:c r="O4" s="20" t="n">
        <x:v>0.0455</x:v>
      </x:c>
      <x:c r="P4" s="18" t="str">
        <x:v>https://www.tsushinkin.co.jp/pdf/disc2025/disc2025_03.pdf</x:v>
      </x:c>
      <x:c r="Q4" s="18" t="str">
        <x:v>Low L/D. Securities are smaller than Wakkanai/Kochi in absolute terms, yet ΔEVE/Capital is above 40%, indicating capital absorption matters.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78" t="str">
        <x:v>Deep Money — First 3-Bank Structural Comparison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75" t="str">
        <x:v>Screening logic: low Loan/Deposit is only the entry signal. The key discriminator is how excess deposits are deployed and how disclosed interest-rate risk compares with capital.</x:v>
      </x:c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70" t="str">
        <x:v>Key Finding</x:v>
      </x:c>
      <x:c r="B9" s="70" t="str">
        <x:v>Kochi</x:v>
      </x:c>
      <x:c r="C9" s="70" t="str">
        <x:v>Wakkanai</x:v>
      </x:c>
      <x:c r="D9" s="70" t="str">
        <x:v>Tsu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36" t="str">
        <x:v>Loan / Deposit</x:v>
      </x:c>
      <x:c r="B10" s="16" t="n">
        <x:f>F2</x:f>
        <x:v>0.09318554632014003</x:v>
      </x:c>
      <x:c r="C10" s="16" t="n">
        <x:f>F3</x:f>
        <x:v>0.17274107248592377</x:v>
      </x:c>
      <x:c r="D10" s="16" t="n">
        <x:f>F4</x:f>
        <x:v>0.19198262980948824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36" t="str">
        <x:v>Securities / Deposit</x:v>
      </x:c>
      <x:c r="B11" s="16" t="n">
        <x:v>0.9987</x:v>
      </x:c>
      <x:c r="C11" s="16" t="n">
        <x:v>0.5512</x:v>
      </x:c>
      <x:c r="D11" s="16" t="n">
        <x:v>0.4773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36" t="str">
        <x:v>ΔEVE / Capital</x:v>
      </x:c>
      <x:c r="B12" s="16" t="n">
        <x:f>M2</x:f>
        <x:v>0.19432168829759192</x:v>
      </x:c>
      <x:c r="C12" s="16" t="n">
        <x:f>M3</x:f>
        <x:v>0.7460045876734479</x:v>
      </x:c>
      <x:c r="D12" s="16" t="n">
        <x:f>M4</x:f>
        <x:v>0.40608815135820736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36" t="str">
        <x:v>Interpretation</x:v>
      </x:c>
      <x:c r="B13" s="12" t="str">
        <x:v>Securities-heavy but strong capital absorption</x:v>
      </x:c>
      <x:c r="C13" s="12" t="str">
        <x:v>JGB-heavy and highest EVE sensitivity</x:v>
      </x:c>
      <x:c r="D13" s="12" t="str">
        <x:v>Smaller B/S but EVE sensitivity still high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5">
      <x:c r="A15" s="68" t="str">
        <x:v>Methodology Notes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12" t="str">
        <x:v>1.</x:v>
      </x:c>
      <x:c r="B16" s="12" t="str">
        <x:v>Loan/Deposit is calculated consistently from FSA deposits and loans; it is a screening signal, not a solvency judgment.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 t="str">
        <x:v>2.</x:v>
      </x:c>
      <x:c r="B17" s="12" t="str">
        <x:v>Securities/Deposit is the institution-reported year-end ratio.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 t="str">
        <x:v>3.</x:v>
      </x:c>
      <x:c r="B18" s="12" t="str">
        <x:v>ΔEVE/Capital is calculated from each institution's disclosed IRRBB maximum ΔEVE and IRRBB capital.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 t="str">
        <x:v>4.</x:v>
      </x:c>
      <x:c r="B19" s="12" t="str">
        <x:v>The comparison shows why absolute securities balances or unrealized losses alone are insufficient; capital absorption and duration structure materially change the risk picture.</x:v>
      </x:c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</x:sheetData>
  <x:mergeCells>
    <x:mergeCell ref="A6:Q6"/>
    <x:mergeCell ref="A7:Q7"/>
    <x:mergeCell ref="A15:Q15"/>
    <x:mergeCell ref="B16:Q16"/>
    <x:mergeCell ref="B17:Q17"/>
    <x:mergeCell ref="B18:Q18"/>
    <x:mergeCell ref="B19:Q19"/>
  </x:mergeCells>
  <x:conditionalFormatting sqref="M2:M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15" hidden="0" customWidth="1"/>
    <x:col min="5" max="5" width="20" hidden="0" customWidth="1"/>
    <x:col min="6" max="6" width="12" hidden="0" customWidth="1"/>
    <x:col min="7" max="7" width="18" hidden="0" customWidth="1"/>
    <x:col min="8" max="8" width="20" hidden="0" customWidth="1"/>
    <x:col min="9" max="9" width="16" hidden="0" customWidth="1"/>
    <x:col min="10" max="10" width="15" hidden="0" customWidth="1"/>
    <x:col min="11" max="11" width="52" hidden="0" customWidth="1"/>
    <x:col min="12" max="12" width="48" hidden="0" customWidth="1"/>
    <x:col min="14" max="14" width="22" hidden="0" customWidth="1"/>
    <x:col min="15" max="15" width="22" hidden="0" customWidth="1"/>
  </x:cols>
  <x:sheetData>
    <x:row r="1">
      <x:c r="A1" s="88" t="str">
        <x:v>Rank</x:v>
      </x:c>
      <x:c r="B1" s="88" t="str">
        <x:v>Institution</x:v>
      </x:c>
      <x:c r="C1" s="88" t="str">
        <x:v>Prefecture</x:v>
      </x:c>
      <x:c r="D1" s="88" t="str">
        <x:v>Loan / Deposit</x:v>
      </x:c>
      <x:c r="E1" s="88" t="str">
        <x:v>Capital Adequacy Ratio</x:v>
      </x:c>
      <x:c r="F1" s="88" t="str">
        <x:v>NPL Ratio</x:v>
      </x:c>
      <x:c r="G1" s="88" t="str">
        <x:v>ΔEVE Max (JPY mm)</x:v>
      </x:c>
      <x:c r="H1" s="88" t="str">
        <x:v>IRRBB Capital (JPY mm)</x:v>
      </x:c>
      <x:c r="I1" s="88" t="str">
        <x:v>ΔEVE / Capital</x:v>
      </x:c>
      <x:c r="J1" s="88" t="str">
        <x:v>IRRBB Status</x:v>
      </x:c>
      <x:c r="K1" s="88" t="str">
        <x:v>Primary Source</x:v>
      </x:c>
      <x:c r="L1" s="88" t="str">
        <x:v>Interpretation / Next Check</x:v>
      </x:c>
      <x:c r="N1" s="89" t="str">
        <x:v>Bottom 20 Progress</x:v>
      </x:c>
      <x:c r="O1" s="89"/>
    </x:row>
    <x:row r="2">
      <x:c r="A2" s="18" t="n">
        <x:v>1</x:v>
      </x:c>
      <x:c r="B2" s="18" t="str">
        <x:v>高知信用金庫</x:v>
      </x:c>
      <x:c r="C2" s="18" t="str">
        <x:v>高知県</x:v>
      </x:c>
      <x:c r="D2" s="20" t="n">
        <x:v>0.09318554632014003</x:v>
      </x:c>
      <x:c r="E2" s="20" t="n">
        <x:v>0.5602</x:v>
      </x:c>
      <x:c r="F2" s="20" t="n">
        <x:v>0.004699999999999999</x:v>
      </x:c>
      <x:c r="G2" s="19" t="n">
        <x:v>50128</x:v>
      </x:c>
      <x:c r="H2" s="19" t="n">
        <x:v>257964</x:v>
      </x:c>
      <x:c r="I2" s="24" t="n">
        <x:f>IFERROR(G2/H2,"")</x:f>
        <x:v>0.19432168829759192</x:v>
      </x:c>
      <x:c r="J2" s="18" t="str">
        <x:v>Verified</x:v>
      </x:c>
      <x:c r="K2" s="18" t="str">
        <x:v>https://www.combank.co.jp/report/reportall.pdf</x:v>
      </x:c>
      <x:c r="L2" s="18" t="str">
        <x:v>Below 20% importance threshold; still inspect securities scale and duration.</x:v>
      </x:c>
      <x:c r="N2" s="91" t="str">
        <x:v>Metric</x:v>
      </x:c>
      <x:c r="O2" s="91" t="str">
        <x:v>Value</x:v>
      </x:c>
    </x:row>
    <x:row r="3">
      <x:c r="A3" s="18" t="n">
        <x:v>2</x:v>
      </x:c>
      <x:c r="B3" s="18" t="str">
        <x:v>稚内信用金庫</x:v>
      </x:c>
      <x:c r="C3" s="18" t="str">
        <x:v>北海道</x:v>
      </x:c>
      <x:c r="D3" s="20" t="n">
        <x:v>0.17274107248592377</x:v>
      </x:c>
      <x:c r="E3" s="20" t="n">
        <x:v>0.6186</x:v>
      </x:c>
      <x:c r="F3" s="20" t="n">
        <x:v>0.048600000000000004</x:v>
      </x:c>
      <x:c r="G3" s="19" t="n">
        <x:v>39677</x:v>
      </x:c>
      <x:c r="H3" s="19" t="n">
        <x:v>53186</x:v>
      </x:c>
      <x:c r="I3" s="24" t="n">
        <x:f>IFERROR(G3/H3,"")</x:f>
        <x:v>0.7460045876734479</x:v>
      </x:c>
      <x:c r="J3" s="18" t="str">
        <x:v>Verified</x:v>
      </x:c>
      <x:c r="K3" s="18" t="str">
        <x:v>https://www.shinkin.co.jp/wakashin/assets/pdf/07-disclo/year-2025_2024-r06-81-2/81-2_all.pdf</x:v>
      </x:c>
      <x:c r="L3" s="18" t="str">
        <x:v>Very high EVE sensitivity vs capital; inspect duration, security mix, and funding structure.</x:v>
      </x:c>
      <x:c r="N3" s="34" t="str">
        <x:v>Bottom-20 institutions</x:v>
      </x:c>
      <x:c r="O3" t="n">
        <x:v>20</x:v>
      </x:c>
    </x:row>
    <x:row r="4">
      <x:c r="A4" s="18" t="n">
        <x:v>3</x:v>
      </x:c>
      <x:c r="B4" s="18" t="str">
        <x:v>津信用金庫</x:v>
      </x:c>
      <x:c r="C4" s="18" t="str">
        <x:v>三重県</x:v>
      </x:c>
      <x:c r="D4" s="20" t="n">
        <x:v>0.19198262980948824</x:v>
      </x:c>
      <x:c r="E4" s="20" t="n">
        <x:v>0.2284</x:v>
      </x:c>
      <x:c r="F4" s="20" t="n">
        <x:v>0.0455</x:v>
      </x:c>
      <x:c r="G4" s="19" t="n">
        <x:v>3842</x:v>
      </x:c>
      <x:c r="H4" s="19" t="n">
        <x:v>9461</x:v>
      </x:c>
      <x:c r="I4" s="24" t="n">
        <x:f>IFERROR(G4/H4,"")</x:f>
        <x:v>0.40608815135820736</x:v>
      </x:c>
      <x:c r="J4" s="18" t="str">
        <x:v>Verified</x:v>
      </x:c>
      <x:c r="K4" s="18" t="str">
        <x:v>https://www.tsushinkin.co.jp/pdf/disc2025/disc2025_03.pdf</x:v>
      </x:c>
      <x:c r="L4" s="18" t="str">
        <x:v>High EVE sensitivity vs capital; inspect duration and loss-absorption capacity.</x:v>
      </x:c>
      <x:c r="N4" s="34" t="str">
        <x:v>IRRBB verified</x:v>
      </x:c>
      <x:c r="O4" t="n">
        <x:v>19</x:v>
      </x:c>
    </x:row>
    <x:row r="5">
      <x:c r="A5" s="18" t="n">
        <x:v>4</x:v>
      </x:c>
      <x:c r="B5" s="18" t="str">
        <x:v>越前信用金庫</x:v>
      </x:c>
      <x:c r="C5" s="18" t="str">
        <x:v>福井県</x:v>
      </x:c>
      <x:c r="D5" s="20" t="n">
        <x:v>0.22639331798117263</x:v>
      </x:c>
      <x:c r="E5" s="20" t="n">
        <x:v>0.1703</x:v>
      </x:c>
      <x:c r="F5" s="20" t="n">
        <x:v>0.027000000000000003</x:v>
      </x:c>
      <x:c r="G5" s="19" t="n">
        <x:v>8945</x:v>
      </x:c>
      <x:c r="H5" s="19" t="n">
        <x:v>17828</x:v>
      </x:c>
      <x:c r="I5" s="24" t="n">
        <x:f>IFERROR(G5/H5,"")</x:f>
        <x:v>0.5017388377832623</x:v>
      </x:c>
      <x:c r="J5" s="18" t="str">
        <x:v>Verified</x:v>
      </x:c>
      <x:c r="K5" s="18" t="str">
        <x:v>https://www.shinkin.co.jp/echishin/assets/pdf/corporate/disclosure/disco2025.pdf</x:v>
      </x:c>
      <x:c r="L5" s="18" t="str">
        <x:v>High EVE sensitivity vs capital; inspect duration and loss-absorption capacity.</x:v>
      </x:c>
      <x:c r="N5" s="34" t="str">
        <x:v>Pending IRRBB</x:v>
      </x:c>
      <x:c r="O5" t="n">
        <x:v>1</x:v>
      </x:c>
    </x:row>
    <x:row r="6">
      <x:c r="A6" s="18" t="n">
        <x:v>5</x:v>
      </x:c>
      <x:c r="B6" s="18" t="str">
        <x:v>紀北信用金庫</x:v>
      </x:c>
      <x:c r="C6" s="18" t="str">
        <x:v>三重県</x:v>
      </x:c>
      <x:c r="D6" s="20" t="n">
        <x:v>0.2353778252120646</x:v>
      </x:c>
      <x:c r="E6" s="20" t="n">
        <x:v>0.332</x:v>
      </x:c>
      <x:c r="F6" s="20" t="n">
        <x:v>0.06280000000000001</x:v>
      </x:c>
      <x:c r="G6" s="19" t="n">
        <x:v>3167</x:v>
      </x:c>
      <x:c r="H6" s="19" t="n">
        <x:v>10814</x:v>
      </x:c>
      <x:c r="I6" s="24" t="n">
        <x:f>IFERROR(G6/H6,"")</x:f>
        <x:v>0.29286110597373777</x:v>
      </x:c>
      <x:c r="J6" s="18" t="str">
        <x:v>Verified</x:v>
      </x:c>
      <x:c r="K6" s="18" t="str">
        <x:v>https://www.shinkin.co.jp/kihoku/pdf/disclose2025.pdf</x:v>
      </x:c>
      <x:c r="L6" s="18" t="str">
        <x:v>Moderate EVE sensitivity vs capital; compare securities structure before judging.</x:v>
      </x:c>
      <x:c r="N6" s="34" t="str">
        <x:v>Very high (&gt;=60%)</x:v>
      </x:c>
      <x:c r="O6" t="n">
        <x:f>COUNTIF(I2:I21,"&gt;=0.6")</x:f>
        <x:v>5</x:v>
      </x:c>
    </x:row>
    <x:row r="7">
      <x:c r="A7" s="18" t="n">
        <x:v>6</x:v>
      </x:c>
      <x:c r="B7" s="18" t="str">
        <x:v>八幡信用金庫</x:v>
      </x:c>
      <x:c r="C7" s="18" t="str">
        <x:v>岐阜県</x:v>
      </x:c>
      <x:c r="D7" s="20" t="n">
        <x:v>0.2502987464365213</x:v>
      </x:c>
      <x:c r="E7" s="20" t="n">
        <x:v>0.25239999999999996</x:v>
      </x:c>
      <x:c r="F7" s="20" t="n">
        <x:v>0.0229</x:v>
      </x:c>
      <x:c r="G7" s="19" t="n">
        <x:v>12586</x:v>
      </x:c>
      <x:c r="H7" s="19" t="n">
        <x:v>17837</x:v>
      </x:c>
      <x:c r="I7" s="24" t="n">
        <x:f>IFERROR(G7/H7,"")</x:f>
        <x:v>0.7056119302573303</x:v>
      </x:c>
      <x:c r="J7" s="18" t="str">
        <x:v>Verified</x:v>
      </x:c>
      <x:c r="K7" s="18" t="str">
        <x:v>https://www.shinkin.co.jp/hachiman/disclo/2026/all_shiryo.pdf</x:v>
      </x:c>
      <x:c r="L7" s="18" t="str">
        <x:v>Very high EVE sensitivity vs capital; inspect duration, security mix, and funding structure.</x:v>
      </x:c>
      <x:c r="N7" s="34" t="str">
        <x:v>High (40-60%)</x:v>
      </x:c>
      <x:c r="O7" t="n">
        <x:f>COUNTIFS(I2:I21,"&gt;=0.4",I2:I21,"&lt;0.6")</x:f>
        <x:v>6</x:v>
      </x:c>
    </x:row>
    <x:row r="8">
      <x:c r="A8" s="18" t="n">
        <x:v>7</x:v>
      </x:c>
      <x:c r="B8" s="18" t="str">
        <x:v>氷見伏木信用金庫</x:v>
      </x:c>
      <x:c r="C8" s="18" t="str">
        <x:v>富山県</x:v>
      </x:c>
      <x:c r="D8" s="20" t="n">
        <x:v>0.2575781189121795</x:v>
      </x:c>
      <x:c r="E8" s="20" t="n">
        <x:v>0.1865</x:v>
      </x:c>
      <x:c r="F8" s="20" t="n">
        <x:v>0.0564</x:v>
      </x:c>
      <x:c r="G8" s="19" t="n">
        <x:v>4634</x:v>
      </x:c>
      <x:c r="H8" s="19" t="n">
        <x:v>9044</x:v>
      </x:c>
      <x:c r="I8" s="24" t="n">
        <x:f>IFERROR(G8/H8,"")</x:f>
        <x:v>0.5123839009287926</x:v>
      </x:c>
      <x:c r="J8" s="18" t="str">
        <x:v>Verified</x:v>
      </x:c>
      <x:c r="K8" s="18" t="str">
        <x:v>https://www.shinkin.co.jp/himifusi/assets/pdf/aboutus/disclosure202503.pdf</x:v>
      </x:c>
      <x:c r="L8" s="18" t="str">
        <x:v>High EVE sensitivity vs capital; inspect duration and loss-absorption capacity.</x:v>
      </x:c>
    </x:row>
    <x:row r="9">
      <x:c r="A9" s="18" t="n">
        <x:v>8</x:v>
      </x:c>
      <x:c r="B9" s="18" t="str">
        <x:v>中兵庫信用金庫</x:v>
      </x:c>
      <x:c r="C9" s="18" t="str">
        <x:v>兵庫県</x:v>
      </x:c>
      <x:c r="D9" s="20" t="n">
        <x:v>0.26468518531953017</x:v>
      </x:c>
      <x:c r="E9" s="20" t="n">
        <x:v>0.2981</x:v>
      </x:c>
      <x:c r="F9" s="20" t="n">
        <x:v>0.0545</x:v>
      </x:c>
      <x:c r="G9" s="19" t="n">
        <x:v>14939</x:v>
      </x:c>
      <x:c r="H9" s="19" t="n">
        <x:v>60057</x:v>
      </x:c>
      <x:c r="I9" s="24" t="n">
        <x:f>IFERROR(G9/H9,"")</x:f>
        <x:v>0.24874702366085552</x:v>
      </x:c>
      <x:c r="J9" s="18" t="str">
        <x:v>Verified</x:v>
      </x:c>
      <x:c r="K9" s="18" t="str">
        <x:v>https://www.nakashin.co.jp/company/disclosure/2025/pdf/2025.pdf</x:v>
      </x:c>
      <x:c r="L9" s="18" t="str">
        <x:v>Moderate EVE sensitivity vs capital; compare securities structure before judging.</x:v>
      </x:c>
    </x:row>
    <x:row r="10">
      <x:c r="A10" s="18" t="n">
        <x:v>9</x:v>
      </x:c>
      <x:c r="B10" s="18" t="str">
        <x:v>中南信用金庫</x:v>
      </x:c>
      <x:c r="C10" s="18" t="str">
        <x:v>神奈川県</x:v>
      </x:c>
      <x:c r="D10" s="20" t="n">
        <x:v>0.30121466342142666</x:v>
      </x:c>
      <x:c r="E10" s="20" t="n">
        <x:v>0.128</x:v>
      </x:c>
      <x:c r="F10" s="20" t="n">
        <x:v>0.023700000000000002</x:v>
      </x:c>
      <x:c r="G10" s="19"/>
      <x:c r="H10" s="19"/>
      <x:c r="I10" s="24" t="str">
        <x:f>IFERROR(G10/H10,"")</x:f>
      </x:c>
      <x:c r="J10" s="18" t="str">
        <x:v>Source PDF pending extraction</x:v>
      </x:c>
      <x:c r="K10" s="18" t="str">
        <x:v>https://www.shinkin.co.jp/chunan/about/data/disclosure_25.pdf</x:v>
      </x:c>
      <x:c r="L10" s="18" t="str">
        <x:v>Official 2025 disclosure identified (35.8MB), but the IRRBB table could not be reliably extracted in this pass. Do not infer values from older reports.</x:v>
      </x:c>
    </x:row>
    <x:row r="11">
      <x:c r="A11" s="18" t="n">
        <x:v>10</x:v>
      </x:c>
      <x:c r="B11" s="18" t="str">
        <x:v>大地みらい信用金庫</x:v>
      </x:c>
      <x:c r="C11" s="18" t="str">
        <x:v>北海道</x:v>
      </x:c>
      <x:c r="D11" s="20" t="n">
        <x:v>0.30239075969255597</x:v>
      </x:c>
      <x:c r="E11" s="20" t="n">
        <x:v>0.2241</x:v>
      </x:c>
      <x:c r="F11" s="20" t="n">
        <x:v>0.0984</x:v>
      </x:c>
      <x:c r="G11" s="19" t="n">
        <x:v>16445</x:v>
      </x:c>
      <x:c r="H11" s="19" t="n">
        <x:v>30283</x:v>
      </x:c>
      <x:c r="I11" s="24" t="n">
        <x:f>IFERROR(G11/H11,"")</x:f>
        <x:v>0.5430439520523066</x:v>
      </x:c>
      <x:c r="J11" s="18" t="str">
        <x:v>Verified</x:v>
      </x:c>
      <x:c r="K11" s="18" t="str">
        <x:v>https://www.daichimirai.co.jp/company/disclosure/2025/2025_document.pdf</x:v>
      </x:c>
      <x:c r="L11" s="18" t="str">
        <x:v>High EVE sensitivity vs capital; inspect duration and loss-absorption capacity.</x:v>
      </x:c>
    </x:row>
    <x:row r="12">
      <x:c r="A12" s="18" t="n">
        <x:v>11</x:v>
      </x:c>
      <x:c r="B12" s="18" t="str">
        <x:v>敦賀信用金庫</x:v>
      </x:c>
      <x:c r="C12" s="18" t="str">
        <x:v>福井県</x:v>
      </x:c>
      <x:c r="D12" s="20" t="n">
        <x:v>0.3073870100320612</x:v>
      </x:c>
      <x:c r="E12" s="20" t="n">
        <x:v>0.1303</x:v>
      </x:c>
      <x:c r="F12" s="20" t="n">
        <x:v>0.056100000000000004</x:v>
      </x:c>
      <x:c r="G12" s="19" t="n">
        <x:v>5063</x:v>
      </x:c>
      <x:c r="H12" s="19" t="n">
        <x:v>8737</x:v>
      </x:c>
      <x:c r="I12" s="24" t="n">
        <x:f>IFERROR(G12/H12,"")</x:f>
        <x:v>0.5794895272976994</x:v>
      </x:c>
      <x:c r="J12" s="18" t="str">
        <x:v>Verified</x:v>
      </x:c>
      <x:c r="K12" s="18" t="str">
        <x:v>https://www.shinkin.co.jp/tsuruga/about/disc/pdf/all2025.pdf</x:v>
      </x:c>
      <x:c r="L12" s="18" t="str">
        <x:v>High EVE sensitivity vs capital; inspect duration and loss-absorption capacity.</x:v>
      </x:c>
    </x:row>
    <x:row r="13">
      <x:c r="A13" s="18" t="n">
        <x:v>12</x:v>
      </x:c>
      <x:c r="B13" s="18" t="str">
        <x:v>室蘭信用金庫</x:v>
      </x:c>
      <x:c r="C13" s="18" t="str">
        <x:v>北海道</x:v>
      </x:c>
      <x:c r="D13" s="20" t="n">
        <x:v>0.30857008594431173</x:v>
      </x:c>
      <x:c r="E13" s="20" t="n">
        <x:v>0.2768</x:v>
      </x:c>
      <x:c r="F13" s="20" t="n">
        <x:v>0.0166</x:v>
      </x:c>
      <x:c r="G13" s="19" t="n">
        <x:v>14644</x:v>
      </x:c>
      <x:c r="H13" s="19" t="n">
        <x:v>38552</x:v>
      </x:c>
      <x:c r="I13" s="24" t="n">
        <x:f>IFERROR(G13/H13,"")</x:f>
        <x:v>0.379850591409006</x:v>
      </x:c>
      <x:c r="J13" s="18" t="str">
        <x:v>Verified</x:v>
      </x:c>
      <x:c r="K13" s="18" t="str">
        <x:v>https://www.shinkin.co.jp/muroshin/info/pdf/discro202603_3.pdf</x:v>
      </x:c>
      <x:c r="L13" s="18" t="str">
        <x:v>Moderate EVE sensitivity vs capital; compare securities structure before judging.</x:v>
      </x:c>
    </x:row>
    <x:row r="14">
      <x:c r="A14" s="18" t="n">
        <x:v>13</x:v>
      </x:c>
      <x:c r="B14" s="18" t="str">
        <x:v>銚子信用金庫</x:v>
      </x:c>
      <x:c r="C14" s="18" t="str">
        <x:v>千葉県</x:v>
      </x:c>
      <x:c r="D14" s="20" t="n">
        <x:v>0.3232258239040376</x:v>
      </x:c>
      <x:c r="E14" s="20" t="n">
        <x:v>0.1257</x:v>
      </x:c>
      <x:c r="F14" s="20" t="n">
        <x:v>0.058899999999999994</x:v>
      </x:c>
      <x:c r="G14" s="19" t="n">
        <x:v>14712</x:v>
      </x:c>
      <x:c r="H14" s="19" t="n">
        <x:v>23343</x:v>
      </x:c>
      <x:c r="I14" s="24" t="n">
        <x:f>IFERROR(G14/H14,"")</x:f>
        <x:v>0.6302531808250867</x:v>
      </x:c>
      <x:c r="J14" s="18" t="str">
        <x:v>Verified</x:v>
      </x:c>
      <x:c r="K14" s="18" t="str">
        <x:v>https://www.choshi-shinkin.co.jp/kigyo/disclosure/files/2025disclo-siryo.pdf</x:v>
      </x:c>
      <x:c r="L14" s="18" t="str">
        <x:v>Very high EVE sensitivity vs capital; inspect duration, security mix, and funding structure.</x:v>
      </x:c>
    </x:row>
    <x:row r="15">
      <x:c r="A15" s="18" t="n">
        <x:v>14</x:v>
      </x:c>
      <x:c r="B15" s="18" t="str">
        <x:v>あぶくま信用金庫</x:v>
      </x:c>
      <x:c r="C15" s="18" t="str">
        <x:v>福島県</x:v>
      </x:c>
      <x:c r="D15" s="20" t="n">
        <x:v>0.3250872540331997</x:v>
      </x:c>
      <x:c r="E15" s="20" t="n">
        <x:v>0.3563</x:v>
      </x:c>
      <x:c r="F15" s="20" t="n">
        <x:v>0.0194</x:v>
      </x:c>
      <x:c r="G15" s="19" t="n">
        <x:v>10216</x:v>
      </x:c>
      <x:c r="H15" s="19" t="n">
        <x:v>37783</x:v>
      </x:c>
      <x:c r="I15" s="24" t="n">
        <x:f>IFERROR(G15/H15,"")</x:f>
        <x:v>0.2703861525024482</x:v>
      </x:c>
      <x:c r="J15" s="18" t="str">
        <x:v>Verified</x:v>
      </x:c>
      <x:c r="K15" s="18" t="str">
        <x:v>https://www.shinkin.co.jp/abukuma/img/top/disclo/r6/disclo/4.pdf</x:v>
      </x:c>
      <x:c r="L15" s="18" t="str">
        <x:v>Moderate EVE sensitivity vs capital; compare securities structure before judging.</x:v>
      </x:c>
    </x:row>
    <x:row r="16">
      <x:c r="A16" s="18" t="n">
        <x:v>15</x:v>
      </x:c>
      <x:c r="B16" s="18" t="str">
        <x:v>伊達信用金庫</x:v>
      </x:c>
      <x:c r="C16" s="18" t="str">
        <x:v>北海道</x:v>
      </x:c>
      <x:c r="D16" s="20" t="n">
        <x:v>0.32521147973306824</x:v>
      </x:c>
      <x:c r="E16" s="20" t="n">
        <x:v>0.128</x:v>
      </x:c>
      <x:c r="F16" s="20" t="n">
        <x:v>0.0479</x:v>
      </x:c>
      <x:c r="G16" s="19" t="n">
        <x:v>4162</x:v>
      </x:c>
      <x:c r="H16" s="19" t="n">
        <x:v>6598</x:v>
      </x:c>
      <x:c r="I16" s="24" t="n">
        <x:f>IFERROR(G16/H16,"")</x:f>
        <x:v>0.6307972112761443</x:v>
      </x:c>
      <x:c r="J16" s="18" t="str">
        <x:v>Verified</x:v>
      </x:c>
      <x:c r="K16" s="18" t="str">
        <x:v>https://www.shinkin.co.jp/dateshin/common/asset/data/pdf/report2025.pdf</x:v>
      </x:c>
      <x:c r="L16" s="18" t="str">
        <x:v>Very high EVE sensitivity vs capital; inspect duration, security mix, and funding structure.</x:v>
      </x:c>
    </x:row>
    <x:row r="17">
      <x:c r="A17" s="18" t="n">
        <x:v>16</x:v>
      </x:c>
      <x:c r="B17" s="18" t="str">
        <x:v>新湊信用金庫</x:v>
      </x:c>
      <x:c r="C17" s="18" t="str">
        <x:v>富山県</x:v>
      </x:c>
      <x:c r="D17" s="20" t="n">
        <x:v>0.32614734715430355</x:v>
      </x:c>
      <x:c r="E17" s="20" t="n">
        <x:v>0.10949999999999999</x:v>
      </x:c>
      <x:c r="F17" s="20" t="n">
        <x:v>0.0475</x:v>
      </x:c>
      <x:c r="G17" s="19" t="n">
        <x:v>2302</x:v>
      </x:c>
      <x:c r="H17" s="19" t="n">
        <x:v>3922</x:v>
      </x:c>
      <x:c r="I17" s="24" t="n">
        <x:f>IFERROR(G17/H17,"")</x:f>
        <x:v>0.5869454360020397</x:v>
      </x:c>
      <x:c r="J17" s="18" t="str">
        <x:v>Verified</x:v>
      </x:c>
      <x:c r="K17" s="18" t="str">
        <x:v>https://www.shinkin.co.jp/s-minato/about/data/disclosure_2025.pdf</x:v>
      </x:c>
      <x:c r="L17" s="18" t="str">
        <x:v>High EVE sensitivity vs capital; inspect duration and loss-absorption capacity.</x:v>
      </x:c>
    </x:row>
    <x:row r="18">
      <x:c r="A18" s="18" t="n">
        <x:v>17</x:v>
      </x:c>
      <x:c r="B18" s="18" t="str">
        <x:v>備前日生信用金庫</x:v>
      </x:c>
      <x:c r="C18" s="18" t="str">
        <x:v>岡山県</x:v>
      </x:c>
      <x:c r="D18" s="20" t="n">
        <x:v>0.32619327028890543</x:v>
      </x:c>
      <x:c r="E18" s="20" t="n">
        <x:v>0.1246</x:v>
      </x:c>
      <x:c r="F18" s="20" t="n">
        <x:v>0.0484</x:v>
      </x:c>
      <x:c r="G18" s="19" t="n">
        <x:v>5207</x:v>
      </x:c>
      <x:c r="H18" s="19" t="n">
        <x:v>14272</x:v>
      </x:c>
      <x:c r="I18" s="24" t="n">
        <x:f>IFERROR(G18/H18,"")</x:f>
        <x:v>0.3648402466367713</x:v>
      </x:c>
      <x:c r="J18" s="18" t="str">
        <x:v>Verified</x:v>
      </x:c>
      <x:c r="K18" s="18" t="str">
        <x:v>https://www.shinkin.co.jp/bizenhinase/_pdf/about/disclosure/20250725.pdf</x:v>
      </x:c>
      <x:c r="L18" s="18" t="str">
        <x:v>Moderate EVE sensitivity vs capital; compare securities structure before judging.</x:v>
      </x:c>
    </x:row>
    <x:row r="19">
      <x:c r="A19" s="18" t="n">
        <x:v>18</x:v>
      </x:c>
      <x:c r="B19" s="18" t="str">
        <x:v>淡路信用金庫</x:v>
      </x:c>
      <x:c r="C19" s="18" t="str">
        <x:v>兵庫県</x:v>
      </x:c>
      <x:c r="D19" s="20" t="n">
        <x:v>0.3326187091457669</x:v>
      </x:c>
      <x:c r="E19" s="20" t="n">
        <x:v>0.2155</x:v>
      </x:c>
      <x:c r="F19" s="20" t="n">
        <x:v>0.0313</x:v>
      </x:c>
      <x:c r="G19" s="19" t="n">
        <x:v>12034</x:v>
      </x:c>
      <x:c r="H19" s="19" t="n">
        <x:v>53171</x:v>
      </x:c>
      <x:c r="I19" s="24" t="n">
        <x:f>IFERROR(G19/H19,"")</x:f>
        <x:v>0.22632638092193114</x:v>
      </x:c>
      <x:c r="J19" s="18" t="str">
        <x:v>Verified</x:v>
      </x:c>
      <x:c r="K19" s="18" t="str">
        <x:v>https://www.shinkin.co.jp/awaji/annai/disclosure/pdf/2025/siryo.pdf</x:v>
      </x:c>
      <x:c r="L19" s="18" t="str">
        <x:v>Moderate EVE sensitivity vs capital; compare securities structure before judging.</x:v>
      </x:c>
    </x:row>
    <x:row r="20">
      <x:c r="A20" s="18" t="n">
        <x:v>19</x:v>
      </x:c>
      <x:c r="B20" s="18" t="str">
        <x:v>結城信用金庫</x:v>
      </x:c>
      <x:c r="C20" s="18" t="str">
        <x:v>茨城県</x:v>
      </x:c>
      <x:c r="D20" s="20" t="n">
        <x:v>0.33454037771279355</x:v>
      </x:c>
      <x:c r="E20" s="20" t="n">
        <x:v>0.1414</x:v>
      </x:c>
      <x:c r="F20" s="20" t="n">
        <x:v>0.0332</x:v>
      </x:c>
      <x:c r="G20" s="19" t="n">
        <x:v>6489</x:v>
      </x:c>
      <x:c r="H20" s="19" t="n">
        <x:v>22315</x:v>
      </x:c>
      <x:c r="I20" s="24" t="n">
        <x:f>IFERROR(G20/H20,"")</x:f>
        <x:v>0.2907909477929644</x:v>
      </x:c>
      <x:c r="J20" s="18" t="str">
        <x:v>Verified</x:v>
      </x:c>
      <x:c r="K20" s="18" t="str">
        <x:v>https://www.shinkin.co.jp/yuki/disclosure/documents/2025.pdf</x:v>
      </x:c>
      <x:c r="L20" s="18" t="str">
        <x:v>Moderate EVE sensitivity vs capital; compare securities structure before judging.</x:v>
      </x:c>
    </x:row>
    <x:row r="21">
      <x:c r="A21" s="18" t="n">
        <x:v>20</x:v>
      </x:c>
      <x:c r="B21" s="18" t="str">
        <x:v>上越信用金庫</x:v>
      </x:c>
      <x:c r="C21" s="18" t="str">
        <x:v>新潟県</x:v>
      </x:c>
      <x:c r="D21" s="20" t="n">
        <x:v>0.3366767333069141</x:v>
      </x:c>
      <x:c r="E21" s="20" t="n">
        <x:v>0.1304</x:v>
      </x:c>
      <x:c r="F21" s="20" t="n">
        <x:v>0.06509999999999999</x:v>
      </x:c>
      <x:c r="G21" s="19" t="n">
        <x:v>8517</x:v>
      </x:c>
      <x:c r="H21" s="19" t="n">
        <x:v>11336</x:v>
      </x:c>
      <x:c r="I21" s="24" t="n">
        <x:f>IFERROR(G21/H21,"")</x:f>
        <x:v>0.7513232180663373</x:v>
      </x:c>
      <x:c r="J21" s="18" t="str">
        <x:v>Verified</x:v>
      </x:c>
      <x:c r="K21" s="18" t="str">
        <x:v>https://www.joetsu-shinkin.jp/files/about/disclosure/disclosure_2025.pdf</x:v>
      </x:c>
      <x:c r="L21" s="18" t="str">
        <x:v>Very high EVE sensitivity vs capital; inspect duration, security mix, and funding structure.</x:v>
      </x:c>
    </x:row>
  </x:sheetData>
  <x:mergeCells>
    <x:mergeCell ref="N1:O1"/>
  </x:mergeCells>
  <x:conditionalFormatting sqref="I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:D2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2:J21">
    <x:cfRule type="expression" dxfId="3" priority="3">
      <x:formula>J2="Pending IRRBB"</x:formula>
    </x:cfRule>
    <x:cfRule type="expression" dxfId="4" priority="4">
      <x:formula>J2="Verified"</x:formula>
    </x:cfRule>
    <x:cfRule type="expression" dxfId="5" priority="5">
      <x:formula>J2="Source PDF pending extraction"</x:formula>
    </x:cfRule>
  </x:conditionalFormatting>
  <x:pageMargins left="0.7" right="0.7" top="0.75" bottom="0.75" header="0.3" footer="0.3"/>
  <x:drawing xmlns:r="http://schemas.openxmlformats.org/officeDocument/2006/relationships" r:id="Rb50d282733c14b90"/>
</x:worksheet>
</file>