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3bc4024c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aaba13761bf2478a"/>
    <x:sheet xmlns:r="http://schemas.openxmlformats.org/officeDocument/2006/relationships" name="Sources" sheetId="2" r:id="R793bb0398f2747a2"/>
    <x:sheet xmlns:r="http://schemas.openxmlformats.org/officeDocument/2006/relationships" name="Read_Me" sheetId="3" r:id="R7fe3dd87c3804762"/>
    <x:sheet xmlns:r="http://schemas.openxmlformats.org/officeDocument/2006/relationships" name="Universe" sheetId="4" r:id="Reb7d841d6d1a402c"/>
    <x:sheet xmlns:r="http://schemas.openxmlformats.org/officeDocument/2006/relationships" name="Case_Study_3" sheetId="5" r:id="Rf2b8fbb811144ded"/>
    <x:sheet xmlns:r="http://schemas.openxmlformats.org/officeDocument/2006/relationships" name="Bottom20_Screen" sheetId="6" r:id="Rc3719967f01f4d00"/>
    <x:sheet xmlns:r="http://schemas.openxmlformats.org/officeDocument/2006/relationships" name="High_Sensitivity_Cluster" sheetId="7" r:id="Rbeb6da807ef149ee"/>
    <x:sheet xmlns:r="http://schemas.openxmlformats.org/officeDocument/2006/relationships" name="ALM_Deep_Dive_3" sheetId="8" r:id="Rd64a628216a2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0%;[Red](0.00%);-"/>
    <x:numFmt numFmtId="202" formatCode="0.00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d84c27de44b11" /><Relationship Type="http://schemas.openxmlformats.org/officeDocument/2006/relationships/theme" Target="/xl/theme/theme1.xml" Id="Rab00f14883a94167" /><Relationship Type="http://schemas.openxmlformats.org/officeDocument/2006/relationships/sharedStrings" Target="/xl/sharedStrings.xml" Id="Rd6b6341bf3a7492b" /><Relationship Type="http://schemas.openxmlformats.org/officeDocument/2006/relationships/worksheet" Target="/xl/worksheets/sheet1.xml" Id="Raaba13761bf2478a" /><Relationship Type="http://schemas.openxmlformats.org/officeDocument/2006/relationships/worksheet" Target="/xl/worksheets/sheet2.xml" Id="R793bb0398f2747a2" /><Relationship Type="http://schemas.openxmlformats.org/officeDocument/2006/relationships/worksheet" Target="/xl/worksheets/sheet3.xml" Id="R7fe3dd87c3804762" /><Relationship Type="http://schemas.openxmlformats.org/officeDocument/2006/relationships/worksheet" Target="/xl/worksheets/sheet4.xml" Id="Reb7d841d6d1a402c" /><Relationship Type="http://schemas.openxmlformats.org/officeDocument/2006/relationships/worksheet" Target="/xl/worksheets/sheet5.xml" Id="Rf2b8fbb811144ded" /><Relationship Type="http://schemas.openxmlformats.org/officeDocument/2006/relationships/worksheet" Target="/xl/worksheets/sheet6.xml" Id="Rc3719967f01f4d00" /><Relationship Type="http://schemas.openxmlformats.org/officeDocument/2006/relationships/worksheet" Target="/xl/worksheets/sheet7.xml" Id="Rbeb6da807ef149ee" /><Relationship Type="http://schemas.openxmlformats.org/officeDocument/2006/relationships/worksheet" Target="/xl/worksheets/sheet8.xml" Id="Rd64a628216a2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dacbff22ad478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9baf34fdb1c4b8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ff89f31adce43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Prior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Prior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'ALM_Deep_Dive_3'!$I$10:$I$12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Current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'ALM_Deep_Dive_3'!$J$10:$J$12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dacbff22ad478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baf34fdb1c4b8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f89f31adce43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93d3892afa442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709a7c345a444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aad113ab084a4bb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  <x:row r="44">
      <x:c r="A44" s="36" t="str">
        <x:v>ALM deep dive</x:v>
      </x:c>
      <x:c r="B44" s="12" t="str">
        <x:v>Added Date, Choshi, and Shinminato to test why high ΔEVE/Capital can occur without an ultra-long securities book.</x:v>
      </x:c>
    </x:row>
    <x:row r="45">
      <x:c r="A45" s="36" t="str">
        <x:v>Date</x:v>
      </x:c>
      <x:c r="B45" s="12" t="str">
        <x:v>Fixed-rate loans are about 73% of loans, while 10Y+ securities are only about 2% of securities. This points toward a broader asset-liability repricing mismatch.</x:v>
      </x:c>
    </x:row>
    <x:row r="46">
      <x:c r="A46" s="36" t="str">
        <x:v>Choshi</x:v>
      </x:c>
      <x:c r="B46" s="12" t="str">
        <x:v>High EVE appears mixed: roughly 60% fixed-rate loans, a large securities book, and modeled core deposits with 1.3125-year average maturity.</x:v>
      </x:c>
    </x:row>
    <x:row r="47">
      <x:c r="A47" s="36" t="str">
        <x:v>Shinminato</x:v>
      </x:c>
      <x:c r="B47" s="12" t="str">
        <x:v>ΔEVE fell year-on-year, but IRRBB capital fell more sharply; the ratio rose because of the denominator as well as asset-liability risk.</x:v>
      </x:c>
    </x:row>
    <x:row r="48">
      <x:c r="A48" s="36" t="str">
        <x:v>Key methodological shift</x:v>
      </x:c>
      <x:c r="B48" s="12" t="str">
        <x:v>ΔEVE/Capital must be decomposed into numerator (economic-value shock) and denominator (capital absorption). A rising ratio does not necessarily mean the underlying rate shock increased.</x:v>
      </x:c>
    </x:row>
    <x:row r="49">
      <x:c r="A49" s="36" t="str">
        <x:v>Next step</x:v>
      </x:c>
      <x:c r="B49" s="12" t="str">
        <x:v>Build a numerator/denominator history and profit/capital bridge for the high-sensitivity cluster before designing the independent +0.5%/+1%/+2% stress model.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d93d3892afa4421d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2709a7c345a44401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9" hidden="0" customWidth="1"/>
    <x:col min="13" max="13" width="19" hidden="0" customWidth="1"/>
    <x:col min="14" max="14" width="18" hidden="0" customWidth="1"/>
    <x:col min="15" max="15" width="20" hidden="0" customWidth="1"/>
    <x:col min="16" max="16" width="18" hidden="0" customWidth="1"/>
    <x:col min="17" max="17" width="18" hidden="0" customWidth="1"/>
    <x:col min="18" max="18" width="17" hidden="0" customWidth="1"/>
    <x:col min="19" max="19" width="20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16" hidden="0" customWidth="1"/>
    <x:col min="25" max="25" width="52" hidden="0" customWidth="1"/>
    <x:col min="26" max="26" width="58" hidden="0" customWidth="1"/>
  </x:cols>
  <x:sheetData>
    <x:row r="1">
      <x:c r="A1" s="110" t="str">
        <x:v>Institution</x:v>
      </x:c>
      <x:c r="B1" s="110" t="str">
        <x:v>Reference Date</x:v>
      </x:c>
      <x:c r="C1" s="110" t="str">
        <x:v>Loans (JPY mm)</x:v>
      </x:c>
      <x:c r="D1" s="110" t="str">
        <x:v>Fixed-rate Loans (JPY mm)</x:v>
      </x:c>
      <x:c r="E1" s="110" t="str">
        <x:v>Variable-rate Loans (JPY mm)</x:v>
      </x:c>
      <x:c r="F1" s="110" t="str">
        <x:v>Fixed Loans / Loans</x:v>
      </x:c>
      <x:c r="G1" s="110" t="str">
        <x:v>Avg Deposits (JPY mm)</x:v>
      </x:c>
      <x:c r="H1" s="110" t="str">
        <x:v>Avg Liquid Deposits (JPY mm)</x:v>
      </x:c>
      <x:c r="I1" s="110" t="str">
        <x:v>Liquid Deposits / Avg Deposits</x:v>
      </x:c>
      <x:c r="J1" s="110" t="str">
        <x:v>Fixed-rate Term Deposits (JPY mm)</x:v>
      </x:c>
      <x:c r="K1" s="110" t="str">
        <x:v>Fixed Term / Avg Deposits</x:v>
      </x:c>
      <x:c r="L1" s="110" t="str">
        <x:v>Core Deposit Avg Maturity (Years)</x:v>
      </x:c>
      <x:c r="M1" s="110" t="str">
        <x:v>Core Deposit Max Maturity (Years)</x:v>
      </x:c>
      <x:c r="N1" s="110" t="str">
        <x:v>Securities EOP (JPY mm)</x:v>
      </x:c>
      <x:c r="O1" s="110" t="str">
        <x:v>10Y+ Securities (JPY mm)</x:v>
      </x:c>
      <x:c r="P1" s="110" t="str">
        <x:v>10Y+ / Securities</x:v>
      </x:c>
      <x:c r="Q1" s="110" t="str">
        <x:v>ΔEVE Current (JPY mm)</x:v>
      </x:c>
      <x:c r="R1" s="110" t="str">
        <x:v>ΔEVE Prior (JPY mm)</x:v>
      </x:c>
      <x:c r="S1" s="110" t="str">
        <x:v>IRRBB Capital Current (JPY mm)</x:v>
      </x:c>
      <x:c r="T1" s="110" t="str">
        <x:v>IRRBB Capital Prior (JPY mm)</x:v>
      </x:c>
      <x:c r="U1" s="110" t="str">
        <x:v>ΔEVE / Capital Current</x:v>
      </x:c>
      <x:c r="V1" s="110" t="str">
        <x:v>ΔEVE / Capital Prior</x:v>
      </x:c>
      <x:c r="W1" s="110" t="str">
        <x:v>ΔNII Current (JPY mm)</x:v>
      </x:c>
      <x:c r="X1" s="110" t="str">
        <x:v>ΔNII / Capital</x:v>
      </x:c>
      <x:c r="Y1" s="110" t="str">
        <x:v>Primary Driver Hypothesis</x:v>
      </x:c>
      <x:c r="Z1" s="110" t="str">
        <x:v>Primary Source</x:v>
      </x:c>
    </x:row>
    <x:row r="2">
      <x:c r="A2" s="18" t="str">
        <x:v>伊達信用金庫</x:v>
      </x:c>
      <x:c r="B2" s="18" t="str">
        <x:v>2025-03-31</x:v>
      </x:c>
      <x:c r="C2" s="19" t="n">
        <x:v>54630</x:v>
      </x:c>
      <x:c r="D2" s="19" t="n">
        <x:v>40060</x:v>
      </x:c>
      <x:c r="E2" s="19" t="n">
        <x:v>14570</x:v>
      </x:c>
      <x:c r="F2" s="24" t="n">
        <x:f>IFERROR(D2/C2,"")</x:f>
        <x:v>0.7332967234120447</x:v>
      </x:c>
      <x:c r="G2" s="19" t="n">
        <x:v>175190</x:v>
      </x:c>
      <x:c r="H2" s="19" t="n">
        <x:v>109263</x:v>
      </x:c>
      <x:c r="I2" s="24" t="n">
        <x:f>IFERROR(H2/G2,"")</x:f>
        <x:v>0.6236828586106513</x:v>
      </x:c>
      <x:c r="J2" s="19" t="n">
        <x:v>63230</x:v>
      </x:c>
      <x:c r="K2" s="24" t="n">
        <x:f>IFERROR(J2/G2,"")</x:f>
        <x:v>0.36092242707917116</x:v>
      </x:c>
      <x:c r="L2" s="115" t="n">
        <x:v>1.25</x:v>
      </x:c>
      <x:c r="M2" s="115" t="n">
        <x:v>2.5</x:v>
      </x:c>
      <x:c r="N2" s="19" t="n">
        <x:v>44803</x:v>
      </x:c>
      <x:c r="O2" s="19" t="n">
        <x:v>1011</x:v>
      </x:c>
      <x:c r="P2" s="24" t="n">
        <x:f>IFERROR(O2/N2,"")</x:f>
        <x:v>0.02256545320625851</x:v>
      </x:c>
      <x:c r="Q2" s="19" t="n">
        <x:v>4162</x:v>
      </x:c>
      <x:c r="R2" s="19" t="n">
        <x:v>4647</x:v>
      </x:c>
      <x:c r="S2" s="19" t="n">
        <x:v>6598</x:v>
      </x:c>
      <x:c r="T2" s="19" t="n">
        <x:v>6444</x:v>
      </x:c>
      <x:c r="U2" s="24" t="n">
        <x:f>IFERROR(Q2/S2,"")</x:f>
        <x:v>0.6307972112761443</x:v>
      </x:c>
      <x:c r="V2" s="24" t="n">
        <x:f>IFERROR(R2/T2,"")</x:f>
        <x:v>0.7211359404096834</x:v>
      </x:c>
      <x:c r="W2" s="19" t="n">
        <x:v>173</x:v>
      </x:c>
      <x:c r="X2" s="24" t="n">
        <x:f>IFERROR(W2/S2,"")</x:f>
        <x:v>0.02622006668687481</x:v>
      </x:c>
      <x:c r="Y2" s="18" t="str">
        <x:v>High EVE despite little 10Y+ securities: fixed-rate loans are ~73% of loans, while modeled liquid-deposit repricing is much shorter. Full ALM mismatch is the likely driver, not bond duration alone.</x:v>
      </x:c>
      <x:c r="Z2" s="18" t="str">
        <x:v>https://www.shinkin.co.jp/dateshin/common/asset/data/pdf/report2025.pdf</x:v>
      </x:c>
    </x:row>
    <x:row r="3">
      <x:c r="A3" s="18" t="str">
        <x:v>銚子信用金庫</x:v>
      </x:c>
      <x:c r="B3" s="18" t="str">
        <x:v>2025-03-31</x:v>
      </x:c>
      <x:c r="C3" s="19" t="n">
        <x:v>167281</x:v>
      </x:c>
      <x:c r="D3" s="19" t="n">
        <x:v>100644</x:v>
      </x:c>
      <x:c r="E3" s="19" t="n">
        <x:v>66637</x:v>
      </x:c>
      <x:c r="F3" s="24" t="n">
        <x:f>IFERROR(D3/C3,"")</x:f>
        <x:v>0.6016463316216426</x:v>
      </x:c>
      <x:c r="G3" s="19" t="n">
        <x:v>523797</x:v>
      </x:c>
      <x:c r="H3" s="19" t="n">
        <x:v>293627</x:v>
      </x:c>
      <x:c r="I3" s="24" t="n">
        <x:f>IFERROR(H3/G3,"")</x:f>
        <x:v>0.5605740391793004</x:v>
      </x:c>
      <x:c r="J3" s="19" t="n">
        <x:v>230145</x:v>
      </x:c>
      <x:c r="K3" s="24" t="n">
        <x:f>IFERROR(J3/G3,"")</x:f>
        <x:v>0.4393782324068294</x:v>
      </x:c>
      <x:c r="L3" s="115" t="n">
        <x:v>1.3125</x:v>
      </x:c>
      <x:c r="M3" s="115" t="n">
        <x:v>5</x:v>
      </x:c>
      <x:c r="N3" s="19" t="n">
        <x:v>198358</x:v>
      </x:c>
      <x:c r="O3" s="19" t="n">
        <x:v>48829</x:v>
      </x:c>
      <x:c r="P3" s="24" t="n">
        <x:f>IFERROR(O3/N3,"")</x:f>
        <x:v>0.2461660230492342</x:v>
      </x:c>
      <x:c r="Q3" s="19" t="n">
        <x:v>14712</x:v>
      </x:c>
      <x:c r="R3" s="19" t="n">
        <x:v>15096</x:v>
      </x:c>
      <x:c r="S3" s="19" t="n">
        <x:v>23343</x:v>
      </x:c>
      <x:c r="T3" s="19" t="n">
        <x:v>22115</x:v>
      </x:c>
      <x:c r="U3" s="24" t="n">
        <x:f>IFERROR(Q3/S3,"")</x:f>
        <x:v>0.6302531808250867</x:v>
      </x:c>
      <x:c r="V3" s="24" t="n">
        <x:f>IFERROR(R3/T3,"")</x:f>
        <x:v>0.68261361067149</x:v>
      </x:c>
      <x:c r="W3" s="19" t="n">
        <x:v>565</x:v>
      </x:c>
      <x:c r="X3" s="24" t="n">
        <x:f>IFERROR(W3/S3,"")</x:f>
        <x:v>0.02420425823587371</x:v>
      </x:c>
      <x:c r="Y3" s="18" t="str">
        <x:v>Mixed driver: ~60% fixed-rate loans, a large securities book, and modeled core deposits. High EVE is balance-sheet-wide rather than a single long-bond position.</x:v>
      </x:c>
      <x:c r="Z3" s="18" t="str">
        <x:v>https://www.choshi-shinkin.co.jp/kigyo/disclosure/files/2025disclo-siryo.pdf</x:v>
      </x:c>
    </x:row>
    <x:row r="4">
      <x:c r="A4" s="18" t="str">
        <x:v>新湊信用金庫</x:v>
      </x:c>
      <x:c r="B4" s="18" t="str">
        <x:v>2025-03-31</x:v>
      </x:c>
      <x:c r="C4" s="19" t="n">
        <x:v>28412</x:v>
      </x:c>
      <x:c r="D4" s="19" t="n">
        <x:v>11684</x:v>
      </x:c>
      <x:c r="E4" s="19" t="n">
        <x:v>16728</x:v>
      </x:c>
      <x:c r="F4" s="24" t="n">
        <x:f>IFERROR(D4/C4,"")</x:f>
        <x:v>0.41123468956778825</x:v>
      </x:c>
      <x:c r="G4" s="19" t="n">
        <x:v>88359</x:v>
      </x:c>
      <x:c r="H4" s="19" t="n">
        <x:v>33328</x:v>
      </x:c>
      <x:c r="I4" s="24" t="n">
        <x:f>IFERROR(H4/G4,"")</x:f>
        <x:v>0.3771885150352539</x:v>
      </x:c>
      <x:c r="J4" s="19" t="n">
        <x:v>54842</x:v>
      </x:c>
      <x:c r="K4" s="24" t="n">
        <x:f>IFERROR(J4/G4,"")</x:f>
        <x:v>0.620672483844317</x:v>
      </x:c>
      <x:c r="L4" s="115" t="n">
        <x:v>1.25</x:v>
      </x:c>
      <x:c r="M4" s="115" t="n">
        <x:v>5</x:v>
      </x:c>
      <x:c r="N4" s="19" t="n">
        <x:v>39279</x:v>
      </x:c>
      <x:c r="O4" s="19" t="n">
        <x:v>6825</x:v>
      </x:c>
      <x:c r="P4" s="24" t="n">
        <x:f>IFERROR(O4/N4,"")</x:f>
        <x:v>0.17375696937294738</x:v>
      </x:c>
      <x:c r="Q4" s="19" t="n">
        <x:v>2302</x:v>
      </x:c>
      <x:c r="R4" s="19" t="n">
        <x:v>3119</x:v>
      </x:c>
      <x:c r="S4" s="19" t="n">
        <x:v>3922</x:v>
      </x:c>
      <x:c r="T4" s="19" t="n">
        <x:v>5791</x:v>
      </x:c>
      <x:c r="U4" s="24" t="n">
        <x:f>IFERROR(Q4/S4,"")</x:f>
        <x:v>0.5869454360020397</x:v>
      </x:c>
      <x:c r="V4" s="24" t="n">
        <x:f>IFERROR(R4/T4,"")</x:f>
        <x:v>0.5385943705750302</x:v>
      </x:c>
      <x:c r="W4" s="19" t="n">
        <x:v>195</x:v>
      </x:c>
      <x:c r="X4" s="24" t="n">
        <x:f>IFERROR(W4/S4,"")</x:f>
        <x:v>0.049719530851606325</x:v>
      </x:c>
      <x:c r="Y4" s="18" t="str">
        <x:v>Unlike Date, variable-rate loans dominate. The current high EVE/Capital ratio is partly a denominator story: ΔEVE fell, but IRRBB capital fell even faster.</x:v>
      </x:c>
      <x:c r="Z4" s="18" t="str">
        <x:v>https://www.shinkin.co.jp/s-minato/about/data/disclosure_2025.pdf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16" t="str">
        <x:v>Deep Money — Why High ΔEVE Can Exist Without an Ultra-Long Bond Book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>
      <x:c r="A7" s="113" t="str">
        <x:v>Finding: Date, Choshi, and Shinminato all show high ΔEVE/Capital, but the mechanism is different. The decisive layer is ALM: fixed/variable loan repricing, modeled deposit maturity, securities duration, and the size of the capital denominator.</x:v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  <x:c r="M7" s="113"/>
      <x:c r="N7" s="113"/>
      <x:c r="O7" s="113"/>
      <x:c r="P7" s="113"/>
      <x:c r="Q7" s="113"/>
      <x:c r="R7" s="113"/>
      <x:c r="S7" s="113"/>
      <x:c r="T7" s="113"/>
      <x:c r="U7" s="113"/>
      <x:c r="V7" s="113"/>
      <x:c r="W7" s="113"/>
      <x:c r="X7" s="113"/>
      <x:c r="Y7" s="113"/>
      <x:c r="Z7" s="113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09" t="str">
        <x:v>Institution</x:v>
      </x:c>
      <x:c r="B9" s="109" t="str">
        <x:v>Key Mechanical Fact</x:v>
      </x:c>
      <x:c r="C9" s="109" t="str">
        <x:v>ΔEVE Direction</x:v>
      </x:c>
      <x:c r="D9" s="109" t="str">
        <x:v>Capital Effect</x:v>
      </x:c>
      <x:c r="E9" s="109" t="str">
        <x:v>Interpretation</x:v>
      </x:c>
      <x:c r="F9" s="109" t="str">
        <x:v>Next Evidence</x:v>
      </x:c>
      <x:c r="G9" s="12"/>
      <x:c r="H9" s="109" t="str">
        <x:v>Institution</x:v>
      </x:c>
      <x:c r="I9" s="109" t="str">
        <x:v>Prior ΔEVE/Cap</x:v>
      </x:c>
      <x:c r="J9" s="109" t="str">
        <x:v>Current ΔEVE/Cap</x:v>
      </x:c>
      <x:c r="K9" s="109" t="str">
        <x:v>ΔEVE Change</x:v>
      </x:c>
      <x:c r="L9" s="109" t="str">
        <x:v>Capital Change</x:v>
      </x:c>
      <x:c r="M9" s="109" t="str">
        <x:v>Ratio Change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伊達信用金庫</x:v>
      </x:c>
      <x:c r="B10" s="12" t="str">
        <x:v>Fixed-rate loans ≈73%; 10Y+ securities only ≈2%</x:v>
      </x:c>
      <x:c r="C10" s="12" t="str">
        <x:v>ΔEVE fell from 4,647 to 4,162</x:v>
      </x:c>
      <x:c r="D10" s="12" t="str">
        <x:v>Capital rose from 6,444 to 6,598</x:v>
      </x:c>
      <x:c r="E10" s="12" t="str">
        <x:v>High EVE is not a long-bond story. Asset-liability repricing mismatch is the stronger candidate.</x:v>
      </x:c>
      <x:c r="F10" s="12" t="str">
        <x:v>Loan maturity ladder; deposit repricing buckets; 100BPV / gap table</x:v>
      </x:c>
      <x:c r="G10" s="12"/>
      <x:c r="H10" s="12" t="str">
        <x:v>伊達信用金庫</x:v>
      </x:c>
      <x:c r="I10" s="16" t="n">
        <x:f>V2</x:f>
        <x:v>0.7211359404096834</x:v>
      </x:c>
      <x:c r="J10" s="16" t="n">
        <x:f>U2</x:f>
        <x:v>0.6307972112761443</x:v>
      </x:c>
      <x:c r="K10" s="16" t="n">
        <x:f>IFERROR(Q2/R2-1,"")</x:f>
        <x:v>-0.10436840972670536</x:v>
      </x:c>
      <x:c r="L10" s="16" t="n">
        <x:f>IFERROR(S2/T2-1,"")</x:f>
        <x:v>0.0238981998758534</x:v>
      </x:c>
      <x:c r="M10" s="16" t="n">
        <x:f>IFERROR(U2-V2,"")</x:f>
        <x:v>-0.09033872913353913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銚子信用金庫</x:v>
      </x:c>
      <x:c r="B11" s="12" t="str">
        <x:v>Fixed-rate loans ≈60%; securities ≈198bn; core-deposit avg maturity 1.31y</x:v>
      </x:c>
      <x:c r="C11" s="12" t="str">
        <x:v>ΔEVE fell from 15,096 to 14,712</x:v>
      </x:c>
      <x:c r="D11" s="12" t="str">
        <x:v>Capital rose from 22,115 to 23,343</x:v>
      </x:c>
      <x:c r="E11" s="12" t="str">
        <x:v>A mixed ALM structure: loan duration + securities + modeled deposits all contribute.</x:v>
      </x:c>
      <x:c r="F11" s="12" t="str">
        <x:v>100BPV; securities duration by class; valuation losses; deposit beta</x:v>
      </x:c>
      <x:c r="G11" s="12"/>
      <x:c r="H11" s="12" t="str">
        <x:v>銚子信用金庫</x:v>
      </x:c>
      <x:c r="I11" s="16" t="n">
        <x:f>V3</x:f>
        <x:v>0.68261361067149</x:v>
      </x:c>
      <x:c r="J11" s="16" t="n">
        <x:f>U3</x:f>
        <x:v>0.6302531808250867</x:v>
      </x:c>
      <x:c r="K11" s="16" t="n">
        <x:f>IFERROR(Q3/R3-1,"")</x:f>
        <x:v>-0.025437201907790197</x:v>
      </x:c>
      <x:c r="L11" s="16" t="n">
        <x:f>IFERROR(S3/T3-1,"")</x:f>
        <x:v>0.05552792222473424</x:v>
      </x:c>
      <x:c r="M11" s="16" t="n">
        <x:f>IFERROR(U3-V3,"")</x:f>
        <x:v>-0.05236042984640321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新湊信用金庫</x:v>
      </x:c>
      <x:c r="B12" s="12" t="str">
        <x:v>Variable-rate loans ≈59%; 10Y+ securities ≈17%</x:v>
      </x:c>
      <x:c r="C12" s="12" t="str">
        <x:v>ΔEVE fell from 3,119 to 2,302</x:v>
      </x:c>
      <x:c r="D12" s="12" t="str">
        <x:v>Capital fell from 5,791 to 3,922</x:v>
      </x:c>
      <x:c r="E12" s="12" t="str">
        <x:v>The ratio worsened despite lower EVE because the capital denominator contracted sharply.</x:v>
      </x:c>
      <x:c r="F12" s="12" t="str">
        <x:v>Why capital fell; profit/loss bridge; securities valuation; capital recovery capacity</x:v>
      </x:c>
      <x:c r="G12" s="12"/>
      <x:c r="H12" s="12" t="str">
        <x:v>新湊信用金庫</x:v>
      </x:c>
      <x:c r="I12" s="16" t="n">
        <x:f>V4</x:f>
        <x:v>0.5385943705750302</x:v>
      </x:c>
      <x:c r="J12" s="16" t="n">
        <x:f>U4</x:f>
        <x:v>0.5869454360020397</x:v>
      </x:c>
      <x:c r="K12" s="16" t="n">
        <x:f>IFERROR(Q4/R4-1,"")</x:f>
        <x:v>-0.2619429304264187</x:v>
      </x:c>
      <x:c r="L12" s="16" t="n">
        <x:f>IFERROR(S4/T4-1,"")</x:f>
        <x:v>-0.32274218615092387</x:v>
      </x:c>
      <x:c r="M12" s="16" t="n">
        <x:f>IFERROR(U4-V4,"")</x:f>
        <x:v>0.04835106542700951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</x:sheetData>
  <x:mergeCells>
    <x:mergeCell ref="A6:Z6"/>
    <x:mergeCell ref="A7:Z7"/>
  </x:mergeCells>
  <x:conditionalFormatting sqref="U2:U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{48C78337-B3BA-A67A-C20C-3AD5DFB007ED}</x14:id>
        </x:ext>
      </x:extLst>
    </x:cfRule>
  </x:conditionalFormatting>
  <x:conditionalFormatting sqref="M10:M12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aad113ab084a4bb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8C78337-B3BA-A67A-C20C-3AD5DFB007ED}">
            <x14:dataBar gradient="1">
              <x14:cfvo type="min"/>
              <x14:cfvo type="max"/>
              <x14:fillColor rgb="FFA02B93"/>
            </x14:dataBar>
          </x14:cfRule>
          <xm:sqref>F2:F4</xm:sqref>
        </x14:conditionalFormatting>
      </x14:conditionalFormattings>
    </x:ext>
  </x:extLst>
</x:worksheet>
</file>