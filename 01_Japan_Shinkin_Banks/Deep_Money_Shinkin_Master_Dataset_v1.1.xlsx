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8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  <Override PartName="/xl/worksheets/sheet9.xml" ContentType="application/vnd.openxmlformats-officedocument.spreadsheetml.worksheet+xml"/>
  <Override PartName="/xl/drawings/drawing4.xml" ContentType="application/vnd.openxmlformats-officedocument.drawing+xml"/>
  <Override PartName="/xl/drawings/charts/chart4.xml" ContentType="application/vnd.openxmlformats-officedocument.drawingml.char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b2278e26ab4e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_Data" sheetId="1" r:id="R5e00c1c7a5a94185"/>
    <x:sheet xmlns:r="http://schemas.openxmlformats.org/officeDocument/2006/relationships" name="Sources" sheetId="2" r:id="R342f4b6def624190"/>
    <x:sheet xmlns:r="http://schemas.openxmlformats.org/officeDocument/2006/relationships" name="Read_Me" sheetId="3" r:id="R36430f15197e4028"/>
    <x:sheet xmlns:r="http://schemas.openxmlformats.org/officeDocument/2006/relationships" name="Universe" sheetId="4" r:id="R98d44ffa77a94b7b"/>
    <x:sheet xmlns:r="http://schemas.openxmlformats.org/officeDocument/2006/relationships" name="Case_Study_3" sheetId="5" r:id="R47f77ae29d0f4803"/>
    <x:sheet xmlns:r="http://schemas.openxmlformats.org/officeDocument/2006/relationships" name="Bottom20_Screen" sheetId="6" r:id="R28e912542c984093"/>
    <x:sheet xmlns:r="http://schemas.openxmlformats.org/officeDocument/2006/relationships" name="High_Sensitivity_Cluster" sheetId="7" r:id="Rb83a5c7ef02841e1"/>
    <x:sheet xmlns:r="http://schemas.openxmlformats.org/officeDocument/2006/relationships" name="ALM_Deep_Dive_3" sheetId="8" r:id="Re2836088977e4971"/>
    <x:sheet xmlns:r="http://schemas.openxmlformats.org/officeDocument/2006/relationships" name="EVE_Capital_History" sheetId="9" r:id="Ra1a8cb70ffc1408a"/>
    <x:sheet xmlns:r="http://schemas.openxmlformats.org/officeDocument/2006/relationships" name="2026_IRRBB_Update" sheetId="10" r:id="Ra5420268745949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;[Red](#,##0);-"/>
    <x:numFmt numFmtId="201" formatCode="0.00%;[Red](0.00%);-"/>
    <x:numFmt numFmtId="202" formatCode="0.00"/>
  </x:numFmts>
  <x:fonts count="11">
    <x:font>
      <x:sz val="11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sz val="11"/>
      <x:color rgb="FF000000"/>
      <x:name val="Carlito"/>
    </x:font>
    <x:font>
      <x:b/>
      <x:sz val="15"/>
      <x:color rgb="FFFFFFFF"/>
      <x:name val="Carlito"/>
    </x:font>
    <x:font>
      <x:b/>
      <x:sz val="11"/>
      <x:name val="Carlito"/>
    </x:font>
    <x:font>
      <x:b/>
      <x:sz val="11"/>
      <x:color rgb="FF0000FF"/>
      <x:name val="Carlito"/>
    </x:font>
    <x:font>
      <x:b/>
      <x:sz val="14"/>
      <x:color rgb="FFFFFFFF"/>
      <x:name val="Carlito"/>
    </x:font>
    <x:font>
      <x:b/>
      <x:sz val="14"/>
      <x:color rgb="FF0000FF"/>
      <x:name val="Carlito"/>
    </x:font>
    <x:font>
      <x:b/>
      <x:sz val="14"/>
      <x:color rgb="FF000000"/>
      <x:name val="Carlito"/>
    </x:font>
    <x:font>
      <x:b/>
      <x:sz val="11"/>
      <x:color rgb="FF000000"/>
      <x:name val="Carlito"/>
    </x:font>
  </x:fonts>
  <x:fills count="22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D9E2F3"/>
      </x:patternFill>
    </x:fill>
    <x:fill>
      <x:patternFill patternType="solid">
        <x:fgColor rgb="FF17365D"/>
      </x:patternFill>
    </x:fill>
    <x:fill>
      <x:patternFill patternType="solid">
        <x:fgColor rgb="FFD9E2F3"/>
      </x:patternFill>
    </x:fill>
    <x:fill>
      <x:patternFill patternType="solid">
        <x:fgColor rgb="FF17365D"/>
      </x:patternFill>
    </x:fill>
    <x:fill>
      <x:patternFill patternType="solid">
        <x:fgColor rgb="FFD9E2F3"/>
      </x:patternFill>
    </x:fill>
    <x:fill>
      <x:patternFill patternType="solid">
        <x:fgColor rgb="FF17365D"/>
      </x:patternFill>
    </x:fill>
    <x:fill>
      <x:patternFill patternType="solid">
        <x:fgColor rgb="FFD9E2F3"/>
      </x:patternFill>
    </x:fill>
    <x:fill>
      <x:patternFill patternType="solid">
        <x:fgColor rgb="FF17365D"/>
      </x:patternFill>
    </x:fill>
    <x:fill>
      <x:patternFill patternType="solid">
        <x:fgColor rgb="FFD9E2F3"/>
      </x:patternFill>
    </x:fill>
    <x:fill>
      <x:patternFill patternType="solid">
        <x:fgColor rgb="FF17365D"/>
      </x:patternFill>
    </x:fill>
    <x:fill>
      <x:patternFill patternType="solid">
        <x:fgColor rgb="FFD9E2F3"/>
      </x:patternFill>
    </x:fill>
    <x:fill>
      <x:patternFill patternType="solid">
        <x:fgColor rgb="FF17365D"/>
      </x:patternFill>
    </x:fill>
    <x:fill>
      <x:patternFill patternType="solid">
        <x:fgColor rgb="FFD9E2F3"/>
      </x:patternFill>
    </x:fill>
    <x:fill>
      <x:patternFill patternType="solid">
        <x:fgColor rgb="FF17365D"/>
      </x:patternFill>
    </x:fill>
    <x:fill>
      <x:patternFill patternType="solid">
        <x:fgColor rgb="FFD9E2F3"/>
      </x:patternFill>
    </x:fill>
    <x:fill>
      <x:patternFill patternType="solid">
        <x:fgColor rgb="FF17365D"/>
      </x:patternFill>
    </x:fill>
    <x:fill>
      <x:patternFill patternType="solid">
        <x:fgColor rgb="FFD9E2F3"/>
      </x:patternFill>
    </x:fill>
  </x:fills>
  <x:borders count="2">
    <x:border/>
    <x:border/>
  </x:borders>
  <x:cellStyleXfs count="1">
    <x:xf numFmtId="0" fontId="0" fillId="0" borderId="0"/>
  </x:cellStyleXfs>
  <x:cellXfs count="16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200" fontId="2" fillId="0" borderId="0" xfId="0" applyNumberFormat="1" applyFont="1" applyFill="1" applyBorder="1" applyAlignment="1">
      <x:alignment wrapText="1"/>
    </x:xf>
    <x:xf numFmtId="201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200" fontId="2" fillId="0" borderId="1" xfId="0" applyNumberFormat="1" applyFont="1" applyFill="1" applyBorder="1" applyAlignment="1">
      <x:alignment wrapText="1"/>
    </x:xf>
    <x:xf numFmtId="201" fontId="2" fillId="0" borderId="1" xfId="0" applyNumberFormat="1" applyFont="1" applyFill="1" applyBorder="1" applyAlignment="1">
      <x:alignment wrapText="1"/>
    </x:xf>
    <x:xf numFmtId="201" fontId="3" fillId="0" borderId="0" xfId="0" applyNumberFormat="1" applyFont="1" applyFill="1" applyBorder="1" applyAlignment="1">
      <x:alignment wrapText="1"/>
    </x:xf>
    <x:xf numFmtId="201" fontId="3" fillId="0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left"/>
    </x:xf>
    <x:xf numFmtId="0" fontId="4" fillId="2" borderId="0" xfId="0" applyNumberFormat="1" applyFont="1" applyFill="1" applyBorder="1" applyAlignment="1">
      <x:alignment horizontal="left" vertic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left"/>
    </x:xf>
    <x:xf numFmtId="0" fontId="4" fillId="2" borderId="1" xfId="0" applyNumberFormat="1" applyFont="1" applyFill="1" applyBorder="1" applyAlignment="1">
      <x:alignment horizontal="left" vertical="center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 applyAlignment="1">
      <x:alignment horizontal="center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 vertical="center" wrapText="1"/>
    </x:xf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center" wrapText="1"/>
    </x:xf>
    <x:xf numFmtId="0" fontId="2" fillId="0" borderId="0" xfId="0" applyNumberFormat="1" applyFont="1" applyFill="1" applyBorder="1"/>
    <x:xf numFmtId="0" fontId="6" fillId="5" borderId="0" xfId="0" applyNumberFormat="1" applyFont="1" applyFill="1" applyBorder="1" applyAlignment="1">
      <x:alignment horizontal="center" wrapText="1"/>
    </x:xf>
    <x:xf numFmtId="0" fontId="6" fillId="0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200" fontId="6" fillId="5" borderId="0" xfId="0" applyNumberFormat="1" applyFont="1" applyFill="1" applyBorder="1" applyAlignment="1">
      <x:alignment horizontal="center" wrapText="1"/>
    </x:xf>
    <x:xf numFmtId="200" fontId="6" fillId="0" borderId="0" xfId="0" applyNumberFormat="1" applyFont="1" applyFill="1" applyBorder="1" applyAlignment="1">
      <x:alignment wrapText="1"/>
    </x:xf>
    <x:xf numFmtId="200" fontId="2" fillId="0" borderId="0" xfId="0" applyNumberFormat="1" applyFont="1" applyFill="1" applyBorder="1"/>
    <x:xf numFmtId="200" fontId="6" fillId="5" borderId="0" xfId="0" applyNumberFormat="1" applyFont="1" applyFill="1" applyBorder="1" applyAlignment="1">
      <x:alignment horizontal="center"/>
    </x:xf>
    <x:xf numFmtId="201" fontId="2" fillId="0" borderId="0" xfId="0" applyNumberFormat="1" applyFont="1" applyFill="1" applyBorder="1"/>
    <x:xf numFmtId="201" fontId="3" fillId="0" borderId="0" xfId="0" applyNumberFormat="1" applyFont="1" applyFill="1" applyBorder="1"/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wrapText="1"/>
    </x:xf>
    <x:xf numFmtId="0" fontId="1" fillId="8" borderId="0" xfId="0" applyNumberFormat="1" applyFont="1" applyFill="1" applyBorder="1" applyAlignment="1">
      <x:alignment horizontal="center" wrapText="1"/>
    </x:xf>
    <x:xf numFmtId="0" fontId="1" fillId="8" borderId="0" xfId="0" applyNumberFormat="1" applyFont="1" applyFill="1" applyBorder="1" applyAlignment="1">
      <x:alignment horizontal="center" vertical="center" wrapText="1"/>
    </x:xf>
    <x:xf numFmtId="0" fontId="7" fillId="8" borderId="0" xfId="0" applyNumberFormat="1" applyFont="1" applyFill="1" applyBorder="1"/>
    <x:xf numFmtId="0" fontId="7" fillId="8" borderId="0" xfId="0" applyNumberFormat="1" applyFont="1" applyFill="1" applyBorder="1" applyAlignment="1">
      <x:alignment horizontal="left"/>
    </x:xf>
    <x:xf numFmtId="0" fontId="0" fillId="9" borderId="0" xfId="0" applyNumberFormat="1" applyFont="1" applyFill="1" applyBorder="1"/>
    <x:xf numFmtId="0" fontId="0" fillId="9" borderId="0" xfId="0" applyNumberFormat="1" applyFont="1" applyFill="1" applyBorder="1" applyAlignment="1">
      <x:alignment wrapText="1"/>
    </x:xf>
    <x:xf numFmtId="0" fontId="1" fillId="8" borderId="0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/>
    <x:xf numFmtId="0" fontId="7" fillId="8" borderId="0" xfId="0" applyNumberFormat="1" applyFont="1" applyFill="1" applyBorder="1" applyAlignment="1">
      <x:alignment horizontal="left" wrapText="1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7" fillId="2" borderId="0" xfId="0" applyNumberFormat="1" applyFont="1" applyFill="1" applyBorder="1" applyAlignment="1">
      <x:alignment horizontal="left" wrapText="1"/>
    </x:xf>
    <x:xf numFmtId="0" fontId="0" fillId="10" borderId="0" xfId="0" applyNumberFormat="1" applyFont="1" applyFill="1" applyBorder="1"/>
    <x:xf numFmtId="0" fontId="1" fillId="10" borderId="0" xfId="0" applyNumberFormat="1" applyFont="1" applyFill="1" applyBorder="1"/>
    <x:xf numFmtId="0" fontId="1" fillId="10" borderId="0" xfId="0" applyNumberFormat="1" applyFont="1" applyFill="1" applyBorder="1" applyAlignment="1">
      <x:alignment wrapText="1"/>
    </x:xf>
    <x:xf numFmtId="0" fontId="1" fillId="10" borderId="0" xfId="0" applyNumberFormat="1" applyFont="1" applyFill="1" applyBorder="1" applyAlignment="1">
      <x:alignment horizontal="center" wrapText="1"/>
    </x:xf>
    <x:xf numFmtId="0" fontId="1" fillId="10" borderId="0" xfId="0" applyNumberFormat="1" applyFont="1" applyFill="1" applyBorder="1" applyAlignment="1">
      <x:alignment horizontal="center" vertical="center" wrapText="1"/>
    </x:xf>
    <x:xf numFmtId="0" fontId="1" fillId="10" borderId="0" xfId="0" applyNumberFormat="1" applyFont="1" applyFill="1" applyBorder="1" applyAlignment="1">
      <x:alignment horizontal="center"/>
    </x:xf>
    <x:xf numFmtId="0" fontId="0" fillId="11" borderId="0" xfId="0" applyNumberFormat="1" applyFont="1" applyFill="1" applyBorder="1"/>
    <x:xf numFmtId="0" fontId="5" fillId="11" borderId="0" xfId="0" applyNumberFormat="1" applyFont="1" applyFill="1" applyBorder="1"/>
    <x:xf numFmtId="0" fontId="0" fillId="12" borderId="0" xfId="0" applyNumberFormat="1" applyFont="1" applyFill="1" applyBorder="1"/>
    <x:xf numFmtId="0" fontId="1" fillId="12" borderId="0" xfId="0" applyNumberFormat="1" applyFont="1" applyFill="1" applyBorder="1"/>
    <x:xf numFmtId="0" fontId="1" fillId="12" borderId="0" xfId="0" applyNumberFormat="1" applyFont="1" applyFill="1" applyBorder="1" applyAlignment="1">
      <x:alignment wrapText="1"/>
    </x:xf>
    <x:xf numFmtId="0" fontId="1" fillId="12" borderId="0" xfId="0" applyNumberFormat="1" applyFont="1" applyFill="1" applyBorder="1" applyAlignment="1">
      <x:alignment horizontal="center" wrapText="1"/>
    </x:xf>
    <x:xf numFmtId="0" fontId="1" fillId="12" borderId="0" xfId="0" applyNumberFormat="1" applyFont="1" applyFill="1" applyBorder="1" applyAlignment="1">
      <x:alignment horizontal="center" vertical="center" wrapText="1"/>
    </x:xf>
    <x:xf numFmtId="0" fontId="7" fillId="12" borderId="0" xfId="0" applyNumberFormat="1" applyFont="1" applyFill="1" applyBorder="1"/>
    <x:xf numFmtId="0" fontId="7" fillId="12" borderId="0" xfId="0" applyNumberFormat="1" applyFont="1" applyFill="1" applyBorder="1" applyAlignment="1">
      <x:alignment horizontal="left"/>
    </x:xf>
    <x:xf numFmtId="0" fontId="0" fillId="13" borderId="0" xfId="0" applyNumberFormat="1" applyFont="1" applyFill="1" applyBorder="1"/>
    <x:xf numFmtId="0" fontId="0" fillId="13" borderId="0" xfId="0" applyNumberFormat="1" applyFont="1" applyFill="1" applyBorder="1" applyAlignment="1">
      <x:alignment wrapText="1"/>
    </x:xf>
    <x:xf numFmtId="0" fontId="1" fillId="12" borderId="0" xfId="0" applyNumberFormat="1" applyFont="1" applyFill="1" applyBorder="1" applyAlignment="1">
      <x:alignment horizontal="center"/>
    </x:xf>
    <x:xf numFmtId="0" fontId="5" fillId="13" borderId="0" xfId="0" applyNumberFormat="1" applyFont="1" applyFill="1" applyBorder="1"/>
    <x:xf numFmtId="0" fontId="7" fillId="12" borderId="0" xfId="0" applyNumberFormat="1" applyFont="1" applyFill="1" applyBorder="1" applyAlignment="1">
      <x:alignment horizontal="left" wrapText="1"/>
    </x:xf>
    <x:xf numFmtId="0" fontId="5" fillId="13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wrapText="1"/>
    </x:xf>
    <x:xf numFmtId="0" fontId="0" fillId="14" borderId="0" xfId="0" applyNumberFormat="1" applyFont="1" applyFill="1" applyBorder="1"/>
    <x:xf numFmtId="0" fontId="1" fillId="14" borderId="0" xfId="0" applyNumberFormat="1" applyFont="1" applyFill="1" applyBorder="1"/>
    <x:xf numFmtId="0" fontId="1" fillId="14" borderId="0" xfId="0" applyNumberFormat="1" applyFont="1" applyFill="1" applyBorder="1" applyAlignment="1">
      <x:alignment wrapText="1"/>
    </x:xf>
    <x:xf numFmtId="0" fontId="1" fillId="14" borderId="0" xfId="0" applyNumberFormat="1" applyFont="1" applyFill="1" applyBorder="1" applyAlignment="1">
      <x:alignment horizontal="center" wrapText="1"/>
    </x:xf>
    <x:xf numFmtId="0" fontId="1" fillId="14" borderId="0" xfId="0" applyNumberFormat="1" applyFont="1" applyFill="1" applyBorder="1" applyAlignment="1">
      <x:alignment horizontal="center" vertical="center" wrapText="1"/>
    </x:xf>
    <x:xf numFmtId="0" fontId="7" fillId="14" borderId="0" xfId="0" applyNumberFormat="1" applyFont="1" applyFill="1" applyBorder="1"/>
    <x:xf numFmtId="0" fontId="0" fillId="15" borderId="0" xfId="0" applyNumberFormat="1" applyFont="1" applyFill="1" applyBorder="1"/>
    <x:xf numFmtId="0" fontId="0" fillId="15" borderId="0" xfId="0" applyNumberFormat="1" applyFont="1" applyFill="1" applyBorder="1" applyAlignment="1">
      <x:alignment wrapText="1"/>
    </x:xf>
    <x:xf numFmtId="202" fontId="2" fillId="0" borderId="0" xfId="0" applyNumberFormat="1" applyFont="1" applyFill="1" applyBorder="1"/>
    <x:xf numFmtId="202" fontId="2" fillId="0" borderId="0" xfId="0" applyNumberFormat="1" applyFont="1" applyFill="1" applyBorder="1" applyAlignment="1">
      <x:alignment wrapText="1"/>
    </x:xf>
    <x:xf numFmtId="0" fontId="7" fillId="14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 applyAlignment="1">
      <x:alignment wrapText="1"/>
    </x:xf>
    <x:xf numFmtId="0" fontId="0" fillId="16" borderId="0" xfId="0" applyNumberFormat="1" applyFont="1" applyFill="1" applyBorder="1"/>
    <x:xf numFmtId="0" fontId="1" fillId="16" borderId="0" xfId="0" applyNumberFormat="1" applyFont="1" applyFill="1" applyBorder="1"/>
    <x:xf numFmtId="0" fontId="1" fillId="16" borderId="0" xfId="0" applyNumberFormat="1" applyFont="1" applyFill="1" applyBorder="1" applyAlignment="1">
      <x:alignment wrapText="1"/>
    </x:xf>
    <x:xf numFmtId="0" fontId="1" fillId="16" borderId="0" xfId="0" applyNumberFormat="1" applyFont="1" applyFill="1" applyBorder="1" applyAlignment="1">
      <x:alignment horizontal="center" wrapText="1"/>
    </x:xf>
    <x:xf numFmtId="0" fontId="1" fillId="16" borderId="0" xfId="0" applyNumberFormat="1" applyFont="1" applyFill="1" applyBorder="1" applyAlignment="1">
      <x:alignment horizontal="center" vertical="center" wrapText="1"/>
    </x:xf>
    <x:xf numFmtId="0" fontId="7" fillId="16" borderId="0" xfId="0" applyNumberFormat="1" applyFont="1" applyFill="1" applyBorder="1"/>
    <x:xf numFmtId="0" fontId="0" fillId="17" borderId="0" xfId="0" applyNumberFormat="1" applyFont="1" applyFill="1" applyBorder="1"/>
    <x:xf numFmtId="0" fontId="0" fillId="17" borderId="0" xfId="0" applyNumberFormat="1" applyFont="1" applyFill="1" applyBorder="1" applyAlignment="1">
      <x:alignment wrapText="1"/>
    </x:xf>
    <x:xf numFmtId="0" fontId="7" fillId="16" borderId="0" xfId="0" applyNumberFormat="1" applyFont="1" applyFill="1" applyBorder="1" applyAlignment="1">
      <x:alignment wrapText="1"/>
    </x:xf>
    <x:xf numFmtId="0" fontId="1" fillId="18" borderId="0" xfId="0" applyNumberFormat="1" applyFont="1" applyFill="1" applyBorder="1" applyAlignment="1">
      <x:alignment horizontal="center" vertical="center" wrapText="1"/>
    </x:xf>
    <x:xf numFmtId="0" fontId="0" fillId="18" borderId="0" xfId="0" applyNumberFormat="1" applyFont="1" applyFill="1" applyBorder="1"/>
    <x:xf numFmtId="0" fontId="7" fillId="18" borderId="0" xfId="0" applyNumberFormat="1" applyFont="1" applyFill="1" applyBorder="1"/>
    <x:xf numFmtId="0" fontId="0" fillId="19" borderId="0" xfId="0" applyNumberFormat="1" applyFont="1" applyFill="1" applyBorder="1"/>
    <x:xf numFmtId="0" fontId="0" fillId="19" borderId="0" xfId="0" applyNumberFormat="1" applyFont="1" applyFill="1" applyBorder="1" applyAlignment="1">
      <x:alignment wrapText="1"/>
    </x:xf>
    <x:xf numFmtId="0" fontId="1" fillId="18" borderId="0" xfId="0" applyNumberFormat="1" applyFont="1" applyFill="1" applyBorder="1"/>
    <x:xf numFmtId="0" fontId="1" fillId="18" borderId="0" xfId="0" applyNumberFormat="1" applyFont="1" applyFill="1" applyBorder="1" applyAlignment="1">
      <x:alignment wrapText="1"/>
    </x:xf>
    <x:xf numFmtId="0" fontId="1" fillId="18" borderId="0" xfId="0" applyNumberFormat="1" applyFont="1" applyFill="1" applyBorder="1" applyAlignment="1">
      <x:alignment horizontal="center" wrapText="1"/>
    </x:xf>
    <x:xf numFmtId="0" fontId="8" fillId="2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horizontal="center" vertical="center" wrapText="1"/>
    </x:xf>
    <x:xf numFmtId="0" fontId="9" fillId="2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wrapText="1"/>
    </x:xf>
    <x:xf numFmtId="0" fontId="10" fillId="2" borderId="0" xfId="0" applyNumberFormat="1" applyFont="1" applyFill="1" applyBorder="1" applyAlignment="1">
      <x:alignment horizontal="center" vertical="center" wrapText="1"/>
    </x:xf>
    <x:xf numFmtId="200" fontId="8" fillId="2" borderId="0" xfId="0" applyNumberFormat="1" applyFont="1" applyFill="1" applyBorder="1" applyAlignment="1">
      <x:alignment wrapText="1"/>
    </x:xf>
    <x:xf numFmtId="200" fontId="2" fillId="5" borderId="0" xfId="0" applyNumberFormat="1" applyFont="1" applyFill="1" applyBorder="1" applyAlignment="1">
      <x:alignment wrapText="1"/>
    </x:xf>
    <x:xf numFmtId="200" fontId="6" fillId="2" borderId="0" xfId="0" applyNumberFormat="1" applyFont="1" applyFill="1" applyBorder="1" applyAlignment="1">
      <x:alignment horizontal="center" vertical="center" wrapText="1"/>
    </x:xf>
    <x:xf numFmtId="201" fontId="9" fillId="2" borderId="0" xfId="0" applyNumberFormat="1" applyFont="1" applyFill="1" applyBorder="1" applyAlignment="1">
      <x:alignment wrapText="1"/>
    </x:xf>
    <x:xf numFmtId="201" fontId="3" fillId="5" borderId="0" xfId="0" applyNumberFormat="1" applyFont="1" applyFill="1" applyBorder="1" applyAlignment="1">
      <x:alignment wrapText="1"/>
    </x:xf>
    <x:xf numFmtId="201" fontId="10" fillId="2" borderId="0" xfId="0" applyNumberFormat="1" applyFont="1" applyFill="1" applyBorder="1" applyAlignment="1">
      <x:alignment horizontal="center" vertical="center" wrapText="1"/>
    </x:xf>
    <x:xf numFmtId="0" fontId="7" fillId="18" borderId="0" xfId="0" applyNumberFormat="1" applyFont="1" applyFill="1" applyBorder="1" applyAlignment="1">
      <x:alignment wrapText="1"/>
    </x:xf>
    <x:xf numFmtId="0" fontId="1" fillId="20" borderId="0" xfId="0" applyNumberFormat="1" applyFont="1" applyFill="1" applyBorder="1" applyAlignment="1">
      <x:alignment horizontal="center" vertical="center" wrapText="1"/>
    </x:xf>
    <x:xf numFmtId="0" fontId="0" fillId="20" borderId="0" xfId="0" applyNumberFormat="1" applyFont="1" applyFill="1" applyBorder="1"/>
    <x:xf numFmtId="0" fontId="1" fillId="20" borderId="0" xfId="0" applyNumberFormat="1" applyFont="1" applyFill="1" applyBorder="1"/>
    <x:xf numFmtId="0" fontId="1" fillId="20" borderId="0" xfId="0" applyNumberFormat="1" applyFont="1" applyFill="1" applyBorder="1" applyAlignment="1">
      <x:alignment wrapText="1"/>
    </x:xf>
    <x:xf numFmtId="0" fontId="1" fillId="20" borderId="0" xfId="0" applyNumberFormat="1" applyFont="1" applyFill="1" applyBorder="1" applyAlignment="1">
      <x:alignment horizontal="center" wrapText="1"/>
    </x:xf>
    <x:xf numFmtId="0" fontId="2" fillId="20" borderId="0" xfId="0" applyNumberFormat="1" applyFont="1" applyFill="1" applyBorder="1" applyAlignment="1">
      <x:alignment wrapText="1"/>
    </x:xf>
    <x:xf numFmtId="201" fontId="3" fillId="20" borderId="0" xfId="0" applyNumberFormat="1" applyFont="1" applyFill="1" applyBorder="1" applyAlignment="1">
      <x:alignment wrapText="1"/>
    </x:xf>
    <x:xf numFmtId="0" fontId="0" fillId="20" borderId="0" xfId="0" applyNumberFormat="1" applyFont="1" applyFill="1" applyBorder="1" applyAlignment="1">
      <x:alignment wrapText="1"/>
    </x:xf>
    <x:xf numFmtId="0" fontId="7" fillId="20" borderId="0" xfId="0" applyNumberFormat="1" applyFont="1" applyFill="1" applyBorder="1" applyAlignment="1">
      <x:alignment wrapText="1"/>
    </x:xf>
    <x:xf numFmtId="201" fontId="7" fillId="20" borderId="0" xfId="0" applyNumberFormat="1" applyFont="1" applyFill="1" applyBorder="1" applyAlignment="1">
      <x:alignment wrapText="1"/>
    </x:xf>
    <x:xf numFmtId="0" fontId="2" fillId="21" borderId="0" xfId="0" applyNumberFormat="1" applyFont="1" applyFill="1" applyBorder="1" applyAlignment="1">
      <x:alignment wrapText="1"/>
    </x:xf>
    <x:xf numFmtId="201" fontId="3" fillId="21" borderId="0" xfId="0" applyNumberFormat="1" applyFont="1" applyFill="1" applyBorder="1" applyAlignment="1">
      <x:alignment wrapText="1"/>
    </x:xf>
    <x:xf numFmtId="0" fontId="0" fillId="21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horizontal="center" wrapText="1"/>
    </x:xf>
    <x:xf numFmtId="0" fontId="10" fillId="2" borderId="0" xfId="0" applyNumberFormat="1" applyFont="1" applyFill="1" applyBorder="1" applyAlignment="1">
      <x:alignment horizontal="center" wrapText="1"/>
    </x:xf>
    <x:xf numFmtId="200" fontId="6" fillId="2" borderId="0" xfId="0" applyNumberFormat="1" applyFont="1" applyFill="1" applyBorder="1" applyAlignment="1">
      <x:alignment horizontal="center" wrapText="1"/>
    </x:xf>
    <x:xf numFmtId="201" fontId="10" fillId="2" borderId="0" xfId="0" applyNumberFormat="1" applyFont="1" applyFill="1" applyBorder="1" applyAlignment="1">
      <x:alignment horizontal="center" wrapText="1"/>
    </x:xf>
  </x:cellXfs>
  <x:cellStyles count="1">
    <x:cellStyle name="Normal" xfId="0"/>
  </x:cellStyles>
  <x:dxfs count="9">
    <x:dxf>
      <x:font>
        <x:color rgb="FF006100"/>
      </x:font>
      <x:fill>
        <x:patternFill>
          <x:bgColor rgb="FFE2F0D9"/>
        </x:patternFill>
      </x:fill>
    </x:dxf>
    <x:dxf>
      <x:fill>
        <x:patternFill>
          <x:bgColor rgb="FFDDEBF7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DCFCE7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DCFCE7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d9577d453f408a" /><Relationship Type="http://schemas.openxmlformats.org/officeDocument/2006/relationships/theme" Target="/xl/theme/theme1.xml" Id="R4ca0ff1d5d4e4f54" /><Relationship Type="http://schemas.openxmlformats.org/officeDocument/2006/relationships/sharedStrings" Target="/xl/sharedStrings.xml" Id="R056e5d42013d46a2" /><Relationship Type="http://schemas.openxmlformats.org/officeDocument/2006/relationships/worksheet" Target="/xl/worksheets/sheet1.xml" Id="R5e00c1c7a5a94185" /><Relationship Type="http://schemas.openxmlformats.org/officeDocument/2006/relationships/worksheet" Target="/xl/worksheets/sheet2.xml" Id="R342f4b6def624190" /><Relationship Type="http://schemas.openxmlformats.org/officeDocument/2006/relationships/worksheet" Target="/xl/worksheets/sheet3.xml" Id="R36430f15197e4028" /><Relationship Type="http://schemas.openxmlformats.org/officeDocument/2006/relationships/worksheet" Target="/xl/worksheets/sheet4.xml" Id="R98d44ffa77a94b7b" /><Relationship Type="http://schemas.openxmlformats.org/officeDocument/2006/relationships/worksheet" Target="/xl/worksheets/sheet5.xml" Id="R47f77ae29d0f4803" /><Relationship Type="http://schemas.openxmlformats.org/officeDocument/2006/relationships/worksheet" Target="/xl/worksheets/sheet6.xml" Id="R28e912542c984093" /><Relationship Type="http://schemas.openxmlformats.org/officeDocument/2006/relationships/worksheet" Target="/xl/worksheets/sheet7.xml" Id="Rb83a5c7ef02841e1" /><Relationship Type="http://schemas.openxmlformats.org/officeDocument/2006/relationships/worksheet" Target="/xl/worksheets/sheet8.xml" Id="Re2836088977e4971" /><Relationship Type="http://schemas.openxmlformats.org/officeDocument/2006/relationships/worksheet" Target="/xl/worksheets/sheet9.xml" Id="Ra1a8cb70ffc1408a" /><Relationship Type="http://schemas.openxmlformats.org/officeDocument/2006/relationships/worksheet" Target="/xl/worksheets/sheet10.xml" Id="Ra5420268745949a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690ac9f77f4478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ff90f01e4b2c4fa9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519db3ba8fc34ce5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15c41b00fbcc405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Bottom-20: ΔEVE / Capital (19 Verified)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Series 1</c:v>
          </c:tx>
          <c:cat>
            <c:strLit>
              <c:ptCount val="1"/>
              <c:pt idx="0">
                <c:v>Item 1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ser>
          <c:idx val="1"/>
          <c:order val="1"/>
          <c:tx>
            <c:v>ΔEVE / Capital</c:v>
          </c:tx>
          <c:cat>
            <c:strRef>
              <c:f>'Bottom20_Screen'!$B$2:$B$21</c:f>
              <c:strCache>
                <c:ptCount val="1"/>
                <c:pt idx="0">
                  <c:v>Item 1</c:v>
                </c:pt>
              </c:strCache>
            </c:strRef>
          </c:cat>
          <c:val>
            <c:numRef>
              <c:f>'Bottom20_Screen'!$I$2:$I$21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High-Sensitivity Cluster: 10Y+ Share vs ΔEVE/Capital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Series 1</c:v>
          </c:tx>
          <c:cat>
            <c:strLit>
              <c:ptCount val="1"/>
              <c:pt idx="0">
                <c:v>Item 1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ser>
          <c:idx val="1"/>
          <c:order val="1"/>
          <c:tx>
            <c:v>10Y+ / Securities</c:v>
          </c:tx>
          <c:cat>
            <c:strRef>
              <c:f>'High_Sensitivity_Cluster'!$A$2:$A$11</c:f>
              <c:strCache>
                <c:ptCount val="1"/>
                <c:pt idx="0">
                  <c:v>Item 1</c:v>
                </c:pt>
              </c:strCache>
            </c:strRef>
          </c:cat>
          <c:val>
            <c:numRef>
              <c:f>'High_Sensitivity_Cluster'!$L$2:$L$11</c:f>
              <c:numCache>
                <c:formatCode>0.0%</c:formatCode>
                <c:ptCount val="0"/>
              </c:numCache>
            </c:numRef>
          </c:val>
        </c:ser>
        <c:ser>
          <c:idx val="2"/>
          <c:order val="2"/>
          <c:tx>
            <c:v>ΔEVE / Capital</c:v>
          </c:tx>
          <c:cat>
            <c:strRef>
              <c:f>'High_Sensitivity_Cluster'!$A$2:$A$11</c:f>
              <c:strCache>
                <c:ptCount val="1"/>
                <c:pt idx="0">
                  <c:v>Item 1</c:v>
                </c:pt>
              </c:strCache>
            </c:strRef>
          </c:cat>
          <c:val>
            <c:numRef>
              <c:f>'High_Sensitivity_Cluster'!$Q$2:$Q$11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ΔEVE / Capital — Prior vs Current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Prior ΔEVE/Cap</c:v>
          </c:tx>
          <c:cat>
            <c:strRef>
              <c:f>'ALM_Deep_Dive_3'!$H$10:$H$12</c:f>
              <c:strCache>
                <c:ptCount val="0"/>
              </c:strCache>
            </c:strRef>
          </c:cat>
          <c:val>
            <c:numRef>
              <c:f>'ALM_Deep_Dive_3'!$I$10:$I$12</c:f>
              <c:numCache>
                <c:formatCode>0.00%;[Red](0.00%);-</c:formatCode>
                <c:ptCount val="0"/>
              </c:numCache>
            </c:numRef>
          </c:val>
        </c:ser>
        <c:ser>
          <c:idx val="1"/>
          <c:order val="1"/>
          <c:tx>
            <c:v>Current ΔEVE/Cap</c:v>
          </c:tx>
          <c:cat>
            <c:strRef>
              <c:f>'ALM_Deep_Dive_3'!$H$10:$H$12</c:f>
              <c:strCache>
                <c:ptCount val="0"/>
              </c:strCache>
            </c:strRef>
          </c:cat>
          <c:val>
            <c:numRef>
              <c:f>'ALM_Deep_Dive_3'!$J$10:$J$12</c:f>
              <c:numCache>
                <c:formatCode>0.00%;[Red](0.00%);-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ΔEVE / Capital — 2024 vs 2025 vs 2026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2024 Ratio</c:v>
          </c:tx>
          <c:cat>
            <c:strRef>
              <c:f>'EVE_Capital_History'!$A$38:$A$47</c:f>
              <c:strCache>
                <c:ptCount val="0"/>
              </c:strCache>
            </c:strRef>
          </c:cat>
          <c:val>
            <c:numRef>
              <c:f>'EVE_Capital_History'!$B$38:$B$47</c:f>
              <c:numCache>
                <c:formatCode>0.00%;[Red](0.00%);-</c:formatCode>
                <c:ptCount val="0"/>
              </c:numCache>
            </c:numRef>
          </c:val>
        </c:ser>
        <c:ser>
          <c:idx val="1"/>
          <c:order val="1"/>
          <c:tx>
            <c:v>2025 Ratio</c:v>
          </c:tx>
          <c:cat>
            <c:strRef>
              <c:f>'EVE_Capital_History'!$A$38:$A$47</c:f>
              <c:strCache>
                <c:ptCount val="0"/>
              </c:strCache>
            </c:strRef>
          </c:cat>
          <c:val>
            <c:numRef>
              <c:f>'EVE_Capital_History'!$C$38:$C$47</c:f>
              <c:numCache>
                <c:formatCode>0.00%;[Red](0.00%);-</c:formatCode>
                <c:ptCount val="0"/>
              </c:numCache>
            </c:numRef>
          </c:val>
        </c:ser>
        <c:ser>
          <c:idx val="2"/>
          <c:order val="2"/>
          <c:tx>
            <c:v>2026 Ratio</c:v>
          </c:tx>
          <c:cat>
            <c:strRef>
              <c:f>'EVE_Capital_History'!$A$38:$A$47</c:f>
              <c:strCache>
                <c:ptCount val="0"/>
              </c:strCache>
            </c:strRef>
          </c:cat>
          <c:val>
            <c:numRef>
              <c:f>'EVE_Capital_History'!$D$38:$D$47</c:f>
              <c:numCache>
                <c:formatCode>0.00%;[Red](0.00%);-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13</xdr:col>
      <xdr:colOff>0</xdr:colOff>
      <xdr:row>8</xdr:row>
      <xdr:rowOff>0</xdr:rowOff>
    </xdr:from>
    <xdr:to>
      <xdr:col>22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690ac9f77f4478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7</xdr:col>
      <xdr:colOff>0</xdr:colOff>
      <xdr:row>24</xdr:row>
      <xdr:rowOff>0</xdr:rowOff>
    </xdr:from>
    <xdr:to>
      <xdr:col>17</xdr:col>
      <xdr:colOff>0</xdr:colOff>
      <xdr:row>45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f90f01e4b2c4fa9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7</xdr:col>
      <xdr:colOff>0</xdr:colOff>
      <xdr:row>13</xdr:row>
      <xdr:rowOff>0</xdr:rowOff>
    </xdr:from>
    <xdr:to>
      <xdr:col>16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19db3ba8fc34ce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12</xdr:col>
      <xdr:colOff>0</xdr:colOff>
      <xdr:row>7</xdr:row>
      <xdr:rowOff>0</xdr:rowOff>
    </xdr:from>
    <xdr:to>
      <xdr:col>22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5c41b00fbcc405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1.xml" Id="R5270cc710bc4489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2.xml" Id="Rcac65938c0234f8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3.xml" Id="Rec8688bb705047f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4.xml" Id="R247deb8972864366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.5" hidden="0" customWidth="1"/>
    <x:col min="3" max="3" width="22" hidden="0" customWidth="1"/>
    <x:col min="4" max="4" width="22" hidden="0" customWidth="1"/>
    <x:col min="5" max="5" width="14.630000114440918" hidden="0" customWidth="1"/>
    <x:col min="6" max="6" width="12.380000114440918" hidden="0" customWidth="1"/>
    <x:col min="7" max="7" width="18.25" hidden="0" customWidth="1"/>
    <x:col min="8" max="8" width="22" hidden="0" customWidth="1"/>
    <x:col min="9" max="9" width="15.75" hidden="0" customWidth="1"/>
    <x:col min="10" max="10" width="11.25" hidden="0" customWidth="1"/>
    <x:col min="11" max="11" width="18.3799991607666" hidden="0" customWidth="1"/>
    <x:col min="12" max="12" width="11.380000114440918" hidden="0" customWidth="1"/>
    <x:col min="13" max="13" width="27.8799991607666" hidden="0" customWidth="1"/>
    <x:col min="14" max="14" width="18.5" hidden="0" customWidth="1"/>
    <x:col min="15" max="15" width="22" hidden="0" customWidth="1"/>
    <x:col min="16" max="16" width="16" hidden="0" customWidth="1"/>
  </x:cols>
  <x:sheetData>
    <x:row r="1">
      <x:c r="A1" s="6" t="str">
        <x:v>Institution</x:v>
      </x:c>
      <x:c r="B1" s="6" t="str">
        <x:v>Prefecture</x:v>
      </x:c>
      <x:c r="C1" s="6" t="str">
        <x:v>Balance Sheet Date</x:v>
      </x:c>
      <x:c r="D1" s="6" t="str">
        <x:v>IRRBB Date</x:v>
      </x:c>
      <x:c r="E1" s="6" t="str">
        <x:v>Deposits (JPY mm)</x:v>
      </x:c>
      <x:c r="F1" s="6" t="str">
        <x:v>Loans (JPY mm)</x:v>
      </x:c>
      <x:c r="G1" s="6" t="str">
        <x:v>Reported Loan/Deposit</x:v>
      </x:c>
      <x:c r="H1" s="6" t="str">
        <x:v>Reported Securities/Deposit</x:v>
      </x:c>
      <x:c r="I1" s="6" t="str">
        <x:v>ΔEVE Max (JPY mm)</x:v>
      </x:c>
      <x:c r="J1" s="6" t="str">
        <x:v>ΔNII (JPY mm)</x:v>
      </x:c>
      <x:c r="K1" s="6" t="str">
        <x:v>IRRBB Capital (JPY mm)</x:v>
      </x:c>
      <x:c r="L1" s="6" t="str">
        <x:v>ΔEVE / Capital</x:v>
      </x:c>
      <x:c r="M1" s="6" t="str">
        <x:v>Other Securities Valuation (JPY mm)</x:v>
      </x:c>
      <x:c r="N1" s="6" t="str">
        <x:v>JGB Valuation (JPY mm)</x:v>
      </x:c>
      <x:c r="O1" s="6" t="str">
        <x:v>Data Status</x:v>
      </x:c>
      <x:c r="P1" s="6" t="str">
        <x:v>Source ID</x:v>
      </x:c>
    </x:row>
    <x:row r="2">
      <x:c r="A2" s="18" t="str">
        <x:v>Wakkanai Shinkin Bank</x:v>
      </x:c>
      <x:c r="B2" s="18" t="str">
        <x:v>Hokkaido</x:v>
      </x:c>
      <x:c r="C2" s="18" t="str">
        <x:v>2025-09-30</x:v>
      </x:c>
      <x:c r="D2" s="18" t="str">
        <x:v>2025-09-30</x:v>
      </x:c>
      <x:c r="E2" s="19" t="n">
        <x:v>469239</x:v>
      </x:c>
      <x:c r="F2" s="19" t="n">
        <x:v>76206</x:v>
      </x:c>
      <x:c r="G2" s="20" t="n">
        <x:v>0.1624</x:v>
      </x:c>
      <x:c r="H2" s="20" t="n">
        <x:v>0.5438</x:v>
      </x:c>
      <x:c r="I2" s="19" t="n">
        <x:v>36377</x:v>
      </x:c>
      <x:c r="J2" s="19" t="n">
        <x:v>834</x:v>
      </x:c>
      <x:c r="K2" s="19" t="n">
        <x:v>53340</x:v>
      </x:c>
      <x:c r="L2" s="24" t="n">
        <x:f>IFERROR(I2/K2,"")</x:f>
        <x:v>0.6819835020622422</x:v>
      </x:c>
      <x:c r="M2" s="19"/>
      <x:c r="N2" s="19"/>
      <x:c r="O2" s="18" t="str">
        <x:v>Pilot — BS + IRRBB</x:v>
      </x:c>
      <x:c r="P2" s="18" t="str">
        <x:v>WAK-2025H1</x:v>
      </x:c>
    </x:row>
    <x:row r="3">
      <x:c r="A3" s="18" t="str">
        <x:v>Kyoto Shinkin Bank</x:v>
      </x:c>
      <x:c r="B3" s="18" t="str">
        <x:v>Kyoto</x:v>
      </x:c>
      <x:c r="C3" s="26" t="str">
        <x:v>2025-09-30</x:v>
      </x:c>
      <x:c r="D3" s="26" t="str">
        <x:v>2025-03-31</x:v>
      </x:c>
      <x:c r="E3" s="19"/>
      <x:c r="F3" s="19" t="n">
        <x:v>1889200</x:v>
      </x:c>
      <x:c r="G3" s="20"/>
      <x:c r="H3" s="20"/>
      <x:c r="I3" s="19" t="n">
        <x:v>1948</x:v>
      </x:c>
      <x:c r="J3" s="19" t="n">
        <x:v>6739</x:v>
      </x:c>
      <x:c r="K3" s="19" t="n">
        <x:v>116358</x:v>
      </x:c>
      <x:c r="L3" s="24" t="n">
        <x:f>IFERROR(I3/K3,"")</x:f>
        <x:v>0.01674143591330205</x:v>
      </x:c>
      <x:c r="M3" s="19" t="n">
        <x:v>-46600</x:v>
      </x:c>
      <x:c r="N3" s="19" t="n">
        <x:v>-21400</x:v>
      </x:c>
      <x:c r="O3" s="18" t="str">
        <x:v>Pilot — mixed reference dates</x:v>
      </x:c>
      <x:c r="P3" s="18" t="str">
        <x:v>KYO-2025</x:v>
      </x:c>
    </x:row>
    <x:row r="4">
      <x:c r="A4" s="18" t="str">
        <x:v>Seto Shinkin Bank</x:v>
      </x:c>
      <x:c r="B4" s="18" t="str">
        <x:v>Aichi</x:v>
      </x:c>
      <x:c r="C4" s="18"/>
      <x:c r="D4" s="18" t="str">
        <x:v>2025-03-31</x:v>
      </x:c>
      <x:c r="E4" s="19"/>
      <x:c r="F4" s="19"/>
      <x:c r="G4" s="20"/>
      <x:c r="H4" s="20"/>
      <x:c r="I4" s="19" t="n">
        <x:v>19405</x:v>
      </x:c>
      <x:c r="J4" s="19" t="n">
        <x:v>1185</x:v>
      </x:c>
      <x:c r="K4" s="19" t="n">
        <x:v>132094</x:v>
      </x:c>
      <x:c r="L4" s="24" t="n">
        <x:f>IFERROR(I4/K4,"")</x:f>
        <x:v>0.14690296304147046</x:v>
      </x:c>
      <x:c r="M4" s="19"/>
      <x:c r="N4" s="19"/>
      <x:c r="O4" s="18" t="str">
        <x:v>Pilot — IRRBB only</x:v>
      </x:c>
      <x:c r="P4" s="18" t="str">
        <x:v>SETO-2025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.130000114440918" hidden="0" customWidth="1"/>
    <x:col min="2" max="2" width="17.6299991607666" hidden="0" customWidth="1"/>
    <x:col min="3" max="3" width="19.25" hidden="0" customWidth="1"/>
    <x:col min="4" max="4" width="38" hidden="0" customWidth="1"/>
    <x:col min="5" max="5" width="38" hidden="0" customWidth="1"/>
    <x:col min="6" max="6" width="38" hidden="0" customWidth="1"/>
  </x:cols>
  <x:sheetData>
    <x:row r="1">
      <x:c r="A1" s="6" t="str">
        <x:v>Source ID</x:v>
      </x:c>
      <x:c r="B1" s="6" t="str">
        <x:v>Institution</x:v>
      </x:c>
      <x:c r="C1" s="6" t="str">
        <x:v>Reference Date</x:v>
      </x:c>
      <x:c r="D1" s="6" t="str">
        <x:v>Document</x:v>
      </x:c>
      <x:c r="E1" s="6" t="str">
        <x:v>Official URL</x:v>
      </x:c>
      <x:c r="F1" s="6" t="str">
        <x:v>What We Use</x:v>
      </x:c>
    </x:row>
    <x:row r="2">
      <x:c r="A2" s="18" t="str">
        <x:v>WAK-2025H1</x:v>
      </x:c>
      <x:c r="B2" s="18" t="str">
        <x:v>Wakkanai Shinkin Bank</x:v>
      </x:c>
      <x:c r="C2" s="18" t="str">
        <x:v>2025-09-30</x:v>
      </x:c>
      <x:c r="D2" s="18" t="str">
        <x:v>2025 First-Half Disclosure</x:v>
      </x:c>
      <x:c r="E2" s="18" t="str">
        <x:v>https://www.shinkin.co.jp/wakashin/assets/pdf/07-disclo/hanki/2025_kamihanki.pdf</x:v>
      </x:c>
      <x:c r="F2" s="18" t="str">
        <x:v>Deposits, loans, reported loan/deposit ratio, reported securities/deposit ratio, ΔEVE, ΔNII, IRRBB capital</x:v>
      </x:c>
    </x:row>
    <x:row r="3">
      <x:c r="A3" s="18" t="str">
        <x:v>KYO-2025</x:v>
      </x:c>
      <x:c r="B3" s="18" t="str">
        <x:v>Kyoto Shinkin Bank</x:v>
      </x:c>
      <x:c r="C3" s="18" t="str">
        <x:v>2025-03-31 / 2025-09-30</x:v>
      </x:c>
      <x:c r="D3" s="18" t="str">
        <x:v>2025 Disclosure (Mar) + Sep 2025 Disclosure</x:v>
      </x:c>
      <x:c r="E3" s="18" t="str">
        <x:v>https://www.kyoto-shinkin.co.jp/about/disclosure/pdf/202503.pdf</x:v>
      </x:c>
      <x:c r="F3" s="18" t="str">
        <x:v>Mar: ΔEVE, ΔNII, IRRBB capital. Sep: loans and securities valuation data.</x:v>
      </x:c>
    </x:row>
    <x:row r="4">
      <x:c r="A4" s="18" t="str">
        <x:v>KYO-2025-SEP</x:v>
      </x:c>
      <x:c r="B4" s="18" t="str">
        <x:v>Kyoto Shinkin Bank</x:v>
      </x:c>
      <x:c r="C4" s="18" t="str">
        <x:v>2025-09-30</x:v>
      </x:c>
      <x:c r="D4" s="18" t="str">
        <x:v>September 2025 Disclosure</x:v>
      </x:c>
      <x:c r="E4" s="18" t="str">
        <x:v>https://www.kyoto-shinkin.co.jp/about/disclosure/pdf/202509-all.pdf</x:v>
      </x:c>
      <x:c r="F4" s="18" t="str">
        <x:v>Loans; valuation difference for other securities and JGBs</x:v>
      </x:c>
    </x:row>
    <x:row r="5">
      <x:c r="A5" s="18" t="str">
        <x:v>SETO-2025</x:v>
      </x:c>
      <x:c r="B5" s="18" t="str">
        <x:v>Seto Shinkin Bank</x:v>
      </x:c>
      <x:c r="C5" s="18" t="str">
        <x:v>2025-03-31</x:v>
      </x:c>
      <x:c r="D5" s="18" t="str">
        <x:v>Setoshin Report 2025</x:v>
      </x:c>
      <x:c r="E5" s="18" t="str">
        <x:v>https://www.setoshin.co.jp/setoshinkin/disclosure/book2025_01/pageindices/index22.html</x:v>
      </x:c>
      <x:c r="F5" s="18" t="str">
        <x:v>ΔEVE, ΔNII, IRRBB capital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8" hidden="0" customWidth="1"/>
  </x:cols>
  <x:sheetData>
    <x:row r="1">
      <x:c r="A1" s="30" t="str">
        <x:v>Deep Money — Japan Shinkin Banks Master Dataset v0.1</x:v>
      </x:c>
      <x:c r="B1" s="30"/>
      <x:c r="C1" s="30"/>
      <x:c r="D1" s="30"/>
      <x:c r="E1" s="30"/>
      <x:c r="F1" s="30"/>
      <x:c r="G1" s="30"/>
      <x:c r="H1" s="30"/>
    </x:row>
    <x:row r="3">
      <x:c r="A3" s="36" t="str">
        <x:v>Purpose</x:v>
      </x:c>
      <x:c r="B3" s="12" t="str">
        <x:v>Pilot dataset to test whether official shinkin disclosures can support nationwide interest-rate-risk screening.</x:v>
      </x:c>
    </x:row>
    <x:row r="4">
      <x:c r="A4" s="36" t="str">
        <x:v>Core metric</x:v>
      </x:c>
      <x:c r="B4" s="12" t="str">
        <x:v>ΔEVE / IRRBB Capital</x:v>
      </x:c>
    </x:row>
    <x:row r="5">
      <x:c r="A5" s="36" t="str">
        <x:v>Source data</x:v>
      </x:c>
      <x:c r="B5" s="12" t="str">
        <x:v>Hardcoded official disclosure values are shown in blue.</x:v>
      </x:c>
    </x:row>
    <x:row r="6">
      <x:c r="A6" s="36" t="str">
        <x:v>Calculated data</x:v>
      </x:c>
      <x:c r="B6" s="12" t="str">
        <x:v>Formula-derived values are shown in black.</x:v>
      </x:c>
    </x:row>
    <x:row r="7">
      <x:c r="A7" s="36" t="str">
        <x:v>Important</x:v>
      </x:c>
      <x:c r="B7" s="12" t="str">
        <x:v>Do not compare values across different reference dates without flagging the mismatch.</x:v>
      </x:c>
    </x:row>
    <x:row r="8">
      <x:c r="A8" s="36" t="str">
        <x:v>Current sample</x:v>
      </x:c>
      <x:c r="B8" s="12" t="str">
        <x:v>Wakkanai / Kyoto / Seto</x:v>
      </x:c>
    </x:row>
    <x:row r="9">
      <x:c r="A9" s="36" t="str">
        <x:v>Next step</x:v>
      </x:c>
      <x:c r="B9" s="12" t="str">
        <x:v>Validate the schema on 2 more institutions, then expand the nationwide screening layer.</x:v>
      </x:c>
    </x:row>
    <x:row r="11">
      <x:c r="A11" s="36" t="str">
        <x:v>Universe</x:v>
      </x:c>
      <x:c r="B11" s="12" t="str">
        <x:v>254 shinkin banks as of 2025-03-31.</x:v>
      </x:c>
    </x:row>
    <x:row r="12">
      <x:c r="A12" s="36" t="str">
        <x:v>Universe source</x:v>
      </x:c>
      <x:c r="B12" s="12" t="str">
        <x:v>Shinkin Central Bank nationwide shinkin directory.</x:v>
      </x:c>
    </x:row>
    <x:row r="13">
      <x:c r="A13" s="36" t="str">
        <x:v>Universe sheet</x:v>
      </x:c>
      <x:c r="B13" s="12" t="str">
        <x:v>Tracks institution-level research progress before financial fields are populated.</x:v>
      </x:c>
    </x:row>
    <x:row r="14">
      <x:c r="A14" s="36" t="str">
        <x:v>Status workflow</x:v>
      </x:c>
      <x:c r="B14" s="12" t="str">
        <x:v>Not Started → Basic Data Found → IRRBB Found → Verified</x:v>
      </x:c>
    </x:row>
    <x:row r="16">
      <x:c r="A16" s="36" t="str">
        <x:v>Phase 1A status</x:v>
      </x:c>
      <x:c r="B16" s="12" t="str">
        <x:v>Completed for all 254 shinkin banks using the FSA 2025-03 dataset.</x:v>
      </x:c>
    </x:row>
    <x:row r="17">
      <x:c r="A17" s="36" t="str">
        <x:v>Phase 1A fields</x:v>
      </x:c>
      <x:c r="B17" s="12" t="str">
        <x:v>FSA code, disclosure URL, deposits, loans, calculated loan-to-deposit ratio, capital adequacy ratio, NPL ratio.</x:v>
      </x:c>
    </x:row>
    <x:row r="18">
      <x:c r="A18" s="36" t="str">
        <x:v>Loan/Deposit</x:v>
      </x:c>
      <x:c r="B18" s="12" t="str">
        <x:v>Calculated consistently as Loans / Deposits; it is a Deep Money calculated field.</x:v>
      </x:c>
    </x:row>
    <x:row r="19">
      <x:c r="A19" s="36" t="str">
        <x:v>Source</x:v>
      </x:c>
      <x:c r="B19" s="12" t="str">
        <x:v>Financial Services Agency, Japan — 中小・地域金融機関情報一覧.</x:v>
      </x:c>
    </x:row>
    <x:row r="20">
      <x:c r="A20" s="36" t="str">
        <x:v>Next step</x:v>
      </x:c>
      <x:c r="B20" s="12" t="str">
        <x:v>Rank the nationwide loan-to-deposit distribution, then collect securities / IRRBB data for selected institutions.</x:v>
      </x:c>
    </x:row>
    <x:row r="22">
      <x:c r="A22" s="36" t="str">
        <x:v>Phase 1B pilot</x:v>
      </x:c>
      <x:c r="B22" s="12" t="str">
        <x:v>Case_Study_3 compares Kochi, Wakkanai, and Tsu using 2025-03 disclosures.</x:v>
      </x:c>
    </x:row>
    <x:row r="23">
      <x:c r="A23" s="36" t="str">
        <x:v>Key metric</x:v>
      </x:c>
      <x:c r="B23" s="12" t="str">
        <x:v>ΔEVE / IRRBB Capital distinguishes balance-sheet interest-rate sensitivity from simple securities size.</x:v>
      </x:c>
    </x:row>
    <x:row r="24">
      <x:c r="A24" s="36" t="str">
        <x:v>Next step</x:v>
      </x:c>
      <x:c r="B24" s="12" t="str">
        <x:v>Expand the same fields to the bottom 20 Loan/Deposit institutions, then identify structural clusters.</x:v>
      </x:c>
    </x:row>
    <x:row r="26">
      <x:c r="A26" s="36" t="str">
        <x:v>Bottom-20 screen</x:v>
      </x:c>
      <x:c r="B26" s="12" t="str">
        <x:v>Created from the nationwide 2025-03 loan-to-deposit ranking.</x:v>
      </x:c>
    </x:row>
    <x:row r="27">
      <x:c r="A27" s="36" t="str">
        <x:v>IRRBB verified</x:v>
      </x:c>
      <x:c r="B27" s="12" t="str">
        <x:v>10 of 20 institutions currently have official 2025 ΔEVE and IRRBB capital extracted.</x:v>
      </x:c>
    </x:row>
    <x:row r="28">
      <x:c r="A28" s="36" t="str">
        <x:v>Interpretation</x:v>
      </x:c>
      <x:c r="B28" s="12" t="str">
        <x:v>Loan-to-deposit is the entry screen only. ΔEVE/Capital is used to separate low-L/D institutions with very different interest-rate risk structures.</x:v>
      </x:c>
    </x:row>
    <x:row r="29">
      <x:c r="A29" s="36" t="str">
        <x:v>Next step</x:v>
      </x:c>
      <x:c r="B29" s="12" t="str">
        <x:v>Complete IRRBB extraction for the remaining 10 institutions, then add securities/deposit and duration structure for the high-sensitivity cluster.</x:v>
      </x:c>
    </x:row>
    <x:row r="31">
      <x:c r="A31" s="36" t="str">
        <x:v>Bottom-20 IRRBB status</x:v>
      </x:c>
      <x:c r="B31" s="12" t="str">
        <x:v>19 of 20 institutions now have FY2024 / 2025-03 official ΔEVE and IRRBB capital values extracted.</x:v>
      </x:c>
    </x:row>
    <x:row r="32">
      <x:c r="A32" s="36" t="str">
        <x:v>Remaining source</x:v>
      </x:c>
      <x:c r="B32" s="12" t="str">
        <x:v>Chunan Shinkin Bank: official 2025 disclosure is identified, but the 35.8MB PDF has not yet yielded a reliable IRRBB table extraction.</x:v>
      </x:c>
    </x:row>
    <x:row r="33">
      <x:c r="A33" s="36" t="str">
        <x:v>Data integrity rule</x:v>
      </x:c>
      <x:c r="B33" s="12" t="str">
        <x:v>No value is backfilled from older reports when the target-year IRRBB figure cannot be verified.</x:v>
      </x:c>
    </x:row>
    <x:row r="34">
      <x:c r="A34" s="36" t="str">
        <x:v>Emerging pattern</x:v>
      </x:c>
      <x:c r="B34" s="12" t="str">
        <x:v>Several low-L/D institutions have ΔEVE/Capital above 50%, while others are around or below 30%; low L/D alone does not determine rate sensitivity.</x:v>
      </x:c>
    </x:row>
    <x:row r="35">
      <x:c r="A35" s="36" t="str">
        <x:v>Next step</x:v>
      </x:c>
      <x:c r="B35" s="12" t="str">
        <x:v>Resolve Chunan, then add securities/deposit, JGB share, and residual maturity data for the high-sensitivity cluster.</x:v>
      </x:c>
    </x:row>
    <x:row r="37">
      <x:c r="A37" s="36" t="str">
        <x:v>High-sensitivity cluster</x:v>
      </x:c>
      <x:c r="B37" s="12" t="str">
        <x:v>10 bottom-20 institutions with ΔEVE/Capital at or above roughly 50%.</x:v>
      </x:c>
    </x:row>
    <x:row r="38">
      <x:c r="A38" s="36" t="str">
        <x:v>New fields</x:v>
      </x:c>
      <x:c r="B38" s="12" t="str">
        <x:v>Securities/deposit, securities EOP, JGB, local government bonds, corporate bonds, foreign securities, 10Y+ securities, and composition ratios.</x:v>
      </x:c>
    </x:row>
    <x:row r="39">
      <x:c r="A39" s="36" t="str">
        <x:v>Important result</x:v>
      </x:c>
      <x:c r="B39" s="12" t="str">
        <x:v>High ΔEVE/Capital is not explained by low loan/deposit or bond duration alone. Some institutions have ultra-long securities books, while others show high EVE sensitivity with little 10Y+ securities exposure.</x:v>
      </x:c>
    </x:row>
    <x:row r="40">
      <x:c r="A40" s="36" t="str">
        <x:v>Causality warning</x:v>
      </x:c>
      <x:c r="B40" s="12" t="str">
        <x:v>Residual maturity is only one component. IRRBB is balance-sheet-wide and depends on deposit/core-deposit assumptions, loan repricing, securities structure, and capital.</x:v>
      </x:c>
    </x:row>
    <x:row r="41">
      <x:c r="A41" s="36" t="str">
        <x:v>Partial row</x:v>
      </x:c>
      <x:c r="B41" s="12" t="str">
        <x:v>Tsuruga: reported securities/deposit and total securities are verified, but detailed composition/residual-maturity extraction remains pending.</x:v>
      </x:c>
    </x:row>
    <x:row r="42">
      <x:c r="A42" s="36" t="str">
        <x:v>Next step</x:v>
      </x:c>
      <x:c r="B42" s="12" t="str">
        <x:v>Investigate the full ALM gap for Date, Choshi, and Shinminato, where high ΔEVE/Capital cannot be explained by 10Y+ securities alone.</x:v>
      </x:c>
    </x:row>
    <x:row r="44">
      <x:c r="A44" s="36" t="str">
        <x:v>ALM deep dive</x:v>
      </x:c>
      <x:c r="B44" s="12" t="str">
        <x:v>Added Date, Choshi, and Shinminato to test why high ΔEVE/Capital can occur without an ultra-long securities book.</x:v>
      </x:c>
    </x:row>
    <x:row r="45">
      <x:c r="A45" s="36" t="str">
        <x:v>Date</x:v>
      </x:c>
      <x:c r="B45" s="12" t="str">
        <x:v>Fixed-rate loans are about 73% of loans, while 10Y+ securities are only about 2% of securities. This points toward a broader asset-liability repricing mismatch.</x:v>
      </x:c>
    </x:row>
    <x:row r="46">
      <x:c r="A46" s="36" t="str">
        <x:v>Choshi</x:v>
      </x:c>
      <x:c r="B46" s="12" t="str">
        <x:v>High EVE appears mixed: roughly 60% fixed-rate loans, a large securities book, and modeled core deposits with 1.3125-year average maturity.</x:v>
      </x:c>
    </x:row>
    <x:row r="47">
      <x:c r="A47" s="36" t="str">
        <x:v>Shinminato</x:v>
      </x:c>
      <x:c r="B47" s="12" t="str">
        <x:v>ΔEVE fell year-on-year, but IRRBB capital fell more sharply; the ratio rose because of the denominator as well as asset-liability risk.</x:v>
      </x:c>
    </x:row>
    <x:row r="48">
      <x:c r="A48" s="36" t="str">
        <x:v>Key methodological shift</x:v>
      </x:c>
      <x:c r="B48" s="12" t="str">
        <x:v>ΔEVE/Capital must be decomposed into numerator (economic-value shock) and denominator (capital absorption). A rising ratio does not necessarily mean the underlying rate shock increased.</x:v>
      </x:c>
    </x:row>
    <x:row r="49">
      <x:c r="A49" s="36" t="str">
        <x:v>Next step</x:v>
      </x:c>
      <x:c r="B49" s="12" t="str">
        <x:v>Build a numerator/denominator history and profit/capital bridge for the high-sensitivity cluster before designing the independent +0.5%/+1%/+2% stress model.</x:v>
      </x:c>
    </x:row>
    <x:row r="51">
      <x:c r="A51" s="36" t="str">
        <x:v>EVE/Capital history</x:v>
      </x:c>
      <x:c r="B51" s="12" t="str">
        <x:v>Added a numerator/denominator history sheet. Five high-sensitivity institutions now have verified 2024-03 and 2025-03 ΔEVE and IRRBB capital pairs.</x:v>
      </x:c>
    </x:row>
    <x:row r="52">
      <x:c r="A52" s="36" t="str">
        <x:v>Verified history</x:v>
      </x:c>
      <x:c r="B52" s="12" t="str">
        <x:v>Date, Choshi, Shinminato, Joetsu, Echizen.</x:v>
      </x:c>
    </x:row>
    <x:row r="53">
      <x:c r="A53" s="36" t="str">
        <x:v>Key finding</x:v>
      </x:c>
      <x:c r="B53" s="12" t="str">
        <x:v>In all five, ΔEVE declined year-on-year. Four also had stable/rising capital and improved ratios; Shinminato is the exception because capital contracted faster than ΔEVE.</x:v>
      </x:c>
    </x:row>
    <x:row r="54">
      <x:c r="A54" s="36" t="str">
        <x:v>Important implication</x:v>
      </x:c>
      <x:c r="B54" s="12" t="str">
        <x:v>A high current ΔEVE/Capital ratio is a level measure, not proof that rate risk is currently worsening.</x:v>
      </x:c>
    </x:row>
    <x:row r="55">
      <x:c r="A55" s="36" t="str">
        <x:v>Pending history</x:v>
      </x:c>
      <x:c r="B55" s="12" t="str">
        <x:v>Wakkanai, Hachiman, Daichi Mirai, Himi-Fushiki, and Tsuruga remain explicitly pending rather than backfilled from unverified older figures.</x:v>
      </x:c>
    </x:row>
    <x:row r="56">
      <x:c r="A56" s="36" t="str">
        <x:v>Next step</x:v>
      </x:c>
      <x:c r="B56" s="12" t="str">
        <x:v>Complete the remaining five histories, then compare 2025-03 with 2026-03 disclosures before applying the actual 2025-03-to-2026-09 yield-curve shock.</x:v>
      </x:c>
    </x:row>
    <x:row r="58">
      <x:c r="A58" s="36" t="str">
        <x:v>History completion</x:v>
      </x:c>
      <x:c r="B58" s="12" t="str">
        <x:v>High-sensitivity cluster history is now complete: 10/10 institutions have verified 2024-03 and 2025-03 ΔEVE and IRRBB capital.</x:v>
      </x:c>
    </x:row>
    <x:row r="59">
      <x:c r="A59" s="36" t="str">
        <x:v>Numerator result</x:v>
      </x:c>
      <x:c r="B59" s="12" t="str">
        <x:v>ΔEVE decreased by more than 1% in 8 institutions, was effectively flat at Daichi Mirai (+0.04%), and increased materially only at Hachiman.</x:v>
      </x:c>
    </x:row>
    <x:row r="60">
      <x:c r="A60" s="36" t="str">
        <x:v>Hachiman exception</x:v>
      </x:c>
      <x:c r="B60" s="12" t="str">
        <x:v>ΔEVE rose from 9,043 to 12,586 JPY mm while capital rose only from 17,454 to 17,837 JPY mm; ratio increased sharply.</x:v>
      </x:c>
    </x:row>
    <x:row r="61">
      <x:c r="A61" s="36" t="str">
        <x:v>Shinminato exception</x:v>
      </x:c>
      <x:c r="B61" s="12" t="str">
        <x:v>ΔEVE fell from 3,119 to 2,302 JPY mm, but capital fell from 5,791 to 3,922 JPY mm; ratio worsened because the denominator fell faster.</x:v>
      </x:c>
    </x:row>
    <x:row r="62">
      <x:c r="A62" s="36" t="str">
        <x:v>Interpretation</x:v>
      </x:c>
      <x:c r="B62" s="12" t="str">
        <x:v>Current high ΔEVE/Capital should be separated into level and direction. A high level can coexist with improving risk, while a rising ratio can be caused by shrinking capital.</x:v>
      </x:c>
    </x:row>
    <x:row r="63">
      <x:c r="A63" s="36" t="str">
        <x:v>Research priority</x:v>
      </x:c>
      <x:c r="B63" s="12" t="str">
        <x:v>Hachiman now warrants first-priority follow-up as the clearest numerator deterioration in the cluster.</x:v>
      </x:c>
    </x:row>
    <x:row r="64">
      <x:c r="A64" s="36" t="str">
        <x:v>Next step</x:v>
      </x:c>
      <x:c r="B64" s="12" t="str">
        <x:v>Add 2026-03 disclosed ΔEVE/capital for the same 10 institutions, then compare the 2025-03 to 2026-03 direction before applying the actual 2025-03-to-2026-09 yield-curve shock.</x:v>
      </x:c>
    </x:row>
    <x:row r="66">
      <x:c r="A66" s="36" t="str">
        <x:v>2026 IRRBB update</x:v>
      </x:c>
      <x:c r="B66" s="12" t="str">
        <x:v>Added 2026-03 ΔEVE and IRRBB capital for 9 of the 10 high-sensitivity institutions.</x:v>
      </x:c>
    </x:row>
    <x:row r="67">
      <x:c r="A67" s="36" t="str">
        <x:v>Verified 2026</x:v>
      </x:c>
      <x:c r="B67" s="12" t="str">
        <x:v>Wakkanai, Joetsu, Hachiman, Date, Choshi, Shinminato, Tsuruga, Daichi Mirai, Himi-Fushiki.</x:v>
      </x:c>
    </x:row>
    <x:row r="68">
      <x:c r="A68" s="36" t="str">
        <x:v>Pending 2026</x:v>
      </x:c>
      <x:c r="B68" s="12" t="str">
        <x:v>Echizen: current official disclosure page available for verification still lists 2025 as the latest full-year disclosure. No estimate/backfill is used.</x:v>
      </x:c>
    </x:row>
    <x:row r="69">
      <x:c r="A69" s="36" t="str">
        <x:v>Main 2026 finding</x:v>
      </x:c>
      <x:c r="B69" s="12" t="str">
        <x:v>Hachiman is the only verified institution with clear ΔEVE deterioration in both 2025 and 2026. Its 2026 ΔEVE/Capital is above 80%.</x:v>
      </x:c>
    </x:row>
    <x:row r="70">
      <x:c r="A70" s="36" t="str">
        <x:v>Broad direction</x:v>
      </x:c>
      <x:c r="B70" s="12" t="str">
        <x:v>Most of the originally high-sensitivity cluster improved in 2026. Tsuruga, Daichi Mirai, and Himi-Fushiki moved below 50% ΔEVE/Capital.</x:v>
      </x:c>
    </x:row>
    <x:row r="71">
      <x:c r="A71" s="36" t="str">
        <x:v>Joetsu nuance</x:v>
      </x:c>
      <x:c r="B71" s="12" t="str">
        <x:v>Joetsu improved on the ratio because ΔEVE fell faster, but its IRRBB capital also declined in 2026; numerator and denominator still need separate monitoring.</x:v>
      </x:c>
    </x:row>
    <x:row r="72">
      <x:c r="A72" s="36" t="str">
        <x:v>Wakkanai</x:v>
      </x:c>
      <x:c r="B72" s="12" t="str">
        <x:v>Wakkanai improved strongly for a second year: ΔEVE fell from 45,283 to 39,677 to 31,339 JPY mm.</x:v>
      </x:c>
    </x:row>
    <x:row r="73">
      <x:c r="A73" s="36" t="str">
        <x:v>Phase 1 status</x:v>
      </x:c>
      <x:c r="B73" s="12" t="str">
        <x:v>The structural screening and IRRBB history are essentially complete; remaining work is Echizen 2026 resolution and current yield-curve overlay.</x:v>
      </x:c>
    </x:row>
    <x:row r="74">
      <x:c r="A74" s="36" t="str">
        <x:v>Next step</x:v>
      </x:c>
      <x:c r="B74" s="12" t="str">
        <x:v>Freeze the 2025-03/2026-03 JGB curve baselines and compare them with the 2026-09 3% long-rate environment before writing the final structural classification.</x:v>
      </x:c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4" hidden="0" customWidth="1"/>
    <x:col min="3" max="3" width="18" hidden="0" customWidth="1"/>
    <x:col min="4" max="4" width="12" hidden="0" customWidth="1"/>
    <x:col min="5" max="5" width="14" hidden="0" customWidth="1"/>
    <x:col min="6" max="6" width="14" hidden="0" customWidth="1"/>
    <x:col min="7" max="7" width="18" hidden="0" customWidth="1"/>
    <x:col min="8" max="8" width="32" hidden="0" customWidth="1"/>
    <x:col min="9" max="9" width="32" hidden="0" customWidth="1"/>
    <x:col min="10" max="10" width="46" hidden="0" customWidth="1"/>
    <x:col min="12" max="12" width="18" hidden="0" customWidth="1"/>
    <x:col min="13" max="13" width="18" hidden="0" customWidth="1"/>
    <x:col min="14" max="14" width="20" hidden="0" customWidth="1"/>
    <x:col min="11" max="11" width="11" hidden="0" customWidth="1"/>
    <x:col min="15" max="15" width="20" hidden="0" customWidth="1"/>
    <x:col min="16" max="16" width="12" hidden="0" customWidth="1"/>
    <x:col min="17" max="17" width="44" hidden="0" customWidth="1"/>
    <x:col min="19" max="19" width="22" hidden="0" customWidth="1"/>
    <x:col min="20" max="20" width="22" hidden="0" customWidth="1"/>
  </x:cols>
  <x:sheetData>
    <x:row r="1">
      <x:c r="A1" s="42" t="str">
        <x:v>Universe ID</x:v>
      </x:c>
      <x:c r="B1" s="42" t="str">
        <x:v>Institution</x:v>
      </x:c>
      <x:c r="C1" s="42" t="str">
        <x:v>Short Name</x:v>
      </x:c>
      <x:c r="D1" s="42" t="str">
        <x:v>Prefecture</x:v>
      </x:c>
      <x:c r="E1" s="42" t="str">
        <x:v>Region</x:v>
      </x:c>
      <x:c r="F1" s="42" t="str">
        <x:v>Universe Date</x:v>
      </x:c>
      <x:c r="G1" s="42" t="str">
        <x:v>Data Status</x:v>
      </x:c>
      <x:c r="H1" s="42" t="str">
        <x:v>Official Website</x:v>
      </x:c>
      <x:c r="I1" s="42" t="str">
        <x:v>Disclosure Page</x:v>
      </x:c>
      <x:c r="J1" s="42" t="str">
        <x:v>Universe Source</x:v>
      </x:c>
      <x:c r="K1" s="48" t="str">
        <x:v>FSA Code</x:v>
      </x:c>
      <x:c r="L1" s="48" t="str">
        <x:v>Deposits (JPY mm)</x:v>
      </x:c>
      <x:c r="M1" s="48" t="str">
        <x:v>Loans (JPY mm)</x:v>
      </x:c>
      <x:c r="N1" s="48" t="str">
        <x:v>Calculated Loan/Deposit</x:v>
      </x:c>
      <x:c r="O1" s="48" t="str">
        <x:v>Capital Adequacy Ratio</x:v>
      </x:c>
      <x:c r="P1" s="48" t="str">
        <x:v>NPL Ratio</x:v>
      </x:c>
      <x:c r="Q1" s="48" t="str">
        <x:v>FSA Source</x:v>
      </x:c>
      <x:c r="S1" s="48" t="str">
        <x:v>Phase 1A Summary</x:v>
      </x:c>
      <x:c r="T1" s="48"/>
    </x:row>
    <x:row r="2">
      <x:c r="A2" s="18" t="n">
        <x:v>1</x:v>
      </x:c>
      <x:c r="B2" s="18" t="str">
        <x:v>北海道信用金庫</x:v>
      </x:c>
      <x:c r="C2" s="18" t="str">
        <x:v>北海道</x:v>
      </x:c>
      <x:c r="D2" s="18" t="str">
        <x:v>北海道</x:v>
      </x:c>
      <x:c r="E2" s="18" t="str">
        <x:v>北海道</x:v>
      </x:c>
      <x:c r="F2" s="18" t="str">
        <x:v>2025-03-31</x:v>
      </x:c>
      <x:c r="G2" s="18" t="str">
        <x:v>Basic Data Found</x:v>
      </x:c>
      <x:c r="H2" s="18" t="str"/>
      <x:c r="I2" s="18" t="str">
        <x:v>https://www.shinkin.co.jp/hokkaido/aboutus/05aboutus.php</x:v>
      </x:c>
      <x:c r="J2" s="18" t="str">
        <x:v>https://www.shinkin-central-bank.jp/cgi-bin/s/index.cgi</x:v>
      </x:c>
      <x:c r="K2" s="52" t="n">
        <x:v>1001</x:v>
      </x:c>
      <x:c r="L2" s="58" t="n">
        <x:v>1170516</x:v>
      </x:c>
      <x:c r="M2" s="58" t="n">
        <x:v>648163</x:v>
      </x:c>
      <x:c r="N2" s="24" t="n">
        <x:f>IFERROR(M2/L2,"")</x:f>
        <x:v>0.5537412559930834</x:v>
      </x:c>
      <x:c r="O2" s="62" t="n">
        <x:v>0.183</x:v>
      </x:c>
      <x:c r="P2" s="62" t="n">
        <x:v>0.0147</x:v>
      </x:c>
      <x:c r="Q2" s="52" t="str">
        <x:v>https://www.fsa.go.jp/policy/chusho/shihyou.html</x:v>
      </x:c>
      <x:c r="S2" s="66" t="str">
        <x:v>Metric</x:v>
      </x:c>
      <x:c r="T2" s="66" t="str">
        <x:v>Value</x:v>
      </x:c>
    </x:row>
    <x:row r="3">
      <x:c r="A3" s="18" t="n">
        <x:v>2</x:v>
      </x:c>
      <x:c r="B3" s="18" t="str">
        <x:v>室蘭信用金庫</x:v>
      </x:c>
      <x:c r="C3" s="18" t="str">
        <x:v>室蘭</x:v>
      </x:c>
      <x:c r="D3" s="18" t="str">
        <x:v>北海道</x:v>
      </x:c>
      <x:c r="E3" s="18" t="str">
        <x:v>北海道</x:v>
      </x:c>
      <x:c r="F3" s="18" t="str">
        <x:v>2025-03-31</x:v>
      </x:c>
      <x:c r="G3" s="18" t="str">
        <x:v>IRRBB Found</x:v>
      </x:c>
      <x:c r="H3" s="18" t="str"/>
      <x:c r="I3" s="18" t="str">
        <x:v>https://www.shinkin.co.jp/muroshin/info/disclo.html</x:v>
      </x:c>
      <x:c r="J3" s="18" t="str">
        <x:v>https://www.shinkin-central-bank.jp/cgi-bin/s/index.cgi</x:v>
      </x:c>
      <x:c r="K3" s="52" t="n">
        <x:v>1003</x:v>
      </x:c>
      <x:c r="L3" s="59" t="n">
        <x:v>353252</x:v>
      </x:c>
      <x:c r="M3" s="19" t="n">
        <x:v>109003</x:v>
      </x:c>
      <x:c r="N3" s="24" t="n">
        <x:f>IFERROR(M3/L3,"")</x:f>
        <x:v>0.30857008594431173</x:v>
      </x:c>
      <x:c r="O3" s="62" t="n">
        <x:v>0.2768</x:v>
      </x:c>
      <x:c r="P3" s="62" t="n">
        <x:v>0.0166</x:v>
      </x:c>
      <x:c r="Q3" s="52" t="str">
        <x:v>https://www.fsa.go.jp/policy/chusho/shihyou.html</x:v>
      </x:c>
      <x:c r="S3" s="34" t="str">
        <x:v>Total institutions</x:v>
      </x:c>
      <x:c r="T3" t="n">
        <x:v>254</x:v>
      </x:c>
    </x:row>
    <x:row r="4">
      <x:c r="A4" s="18" t="n">
        <x:v>3</x:v>
      </x:c>
      <x:c r="B4" s="18" t="str">
        <x:v>空知信用金庫</x:v>
      </x:c>
      <x:c r="C4" s="18" t="str">
        <x:v>空知</x:v>
      </x:c>
      <x:c r="D4" s="18" t="str">
        <x:v>北海道</x:v>
      </x:c>
      <x:c r="E4" s="18" t="str">
        <x:v>北海道</x:v>
      </x:c>
      <x:c r="F4" s="18" t="str">
        <x:v>2025-03-31</x:v>
      </x:c>
      <x:c r="G4" s="18" t="str">
        <x:v>Basic Data Found</x:v>
      </x:c>
      <x:c r="H4" s="18" t="str"/>
      <x:c r="I4" s="18" t="str">
        <x:v>https://www.shinkin.co.jp/sorachi/about/disclosure.html</x:v>
      </x:c>
      <x:c r="J4" s="18" t="str">
        <x:v>https://www.shinkin-central-bank.jp/cgi-bin/s/index.cgi</x:v>
      </x:c>
      <x:c r="K4" s="52" t="n">
        <x:v>1004</x:v>
      </x:c>
      <x:c r="L4" s="59" t="n">
        <x:v>327858</x:v>
      </x:c>
      <x:c r="M4" s="19" t="n">
        <x:v>146836</x:v>
      </x:c>
      <x:c r="N4" s="24" t="n">
        <x:f>IFERROR(M4/L4,"")</x:f>
        <x:v>0.447864624319065</x:v>
      </x:c>
      <x:c r="O4" s="62" t="n">
        <x:v>0.1671</x:v>
      </x:c>
      <x:c r="P4" s="62" t="n">
        <x:v>0.0301</x:v>
      </x:c>
      <x:c r="Q4" s="52" t="str">
        <x:v>https://www.fsa.go.jp/policy/chusho/shihyou.html</x:v>
      </x:c>
      <x:c r="S4" s="34" t="str">
        <x:v>Universe date</x:v>
      </x:c>
      <x:c r="T4" t="str">
        <x:v>2025-03-31</x:v>
      </x:c>
    </x:row>
    <x:row r="5">
      <x:c r="A5" s="18" t="n">
        <x:v>4</x:v>
      </x:c>
      <x:c r="B5" s="18" t="str">
        <x:v>苫小牧信用金庫</x:v>
      </x:c>
      <x:c r="C5" s="18" t="str">
        <x:v>苫小牧</x:v>
      </x:c>
      <x:c r="D5" s="18" t="str">
        <x:v>北海道</x:v>
      </x:c>
      <x:c r="E5" s="18" t="str">
        <x:v>北海道</x:v>
      </x:c>
      <x:c r="F5" s="18" t="str">
        <x:v>2025-03-31</x:v>
      </x:c>
      <x:c r="G5" s="18" t="str">
        <x:v>Basic Data Found</x:v>
      </x:c>
      <x:c r="H5" s="18" t="str"/>
      <x:c r="I5" s="18" t="str">
        <x:v>https://www.shinkin.co.jp/tomashin/h_disclo.html</x:v>
      </x:c>
      <x:c r="J5" s="18" t="str">
        <x:v>https://www.shinkin-central-bank.jp/cgi-bin/s/index.cgi</x:v>
      </x:c>
      <x:c r="K5" s="52" t="n">
        <x:v>1006</x:v>
      </x:c>
      <x:c r="L5" s="59" t="n">
        <x:v>517941</x:v>
      </x:c>
      <x:c r="M5" s="19" t="n">
        <x:v>259561</x:v>
      </x:c>
      <x:c r="N5" s="24" t="n">
        <x:f>IFERROR(M5/L5,"")</x:f>
        <x:v>0.5011400912459141</x:v>
      </x:c>
      <x:c r="O5" s="62" t="n">
        <x:v>0.20489999999999997</x:v>
      </x:c>
      <x:c r="P5" s="62" t="n">
        <x:v>0.032400000000000005</x:v>
      </x:c>
      <x:c r="Q5" s="52" t="str">
        <x:v>https://www.fsa.go.jp/policy/chusho/shihyou.html</x:v>
      </x:c>
      <x:c r="S5" s="34" t="str">
        <x:v>Not Started</x:v>
      </x:c>
      <x:c r="T5" t="n">
        <x:v>0</x:v>
      </x:c>
    </x:row>
    <x:row r="6">
      <x:c r="A6" s="18" t="n">
        <x:v>5</x:v>
      </x:c>
      <x:c r="B6" s="18" t="str">
        <x:v>北門信用金庫</x:v>
      </x:c>
      <x:c r="C6" s="18" t="str">
        <x:v>北門</x:v>
      </x:c>
      <x:c r="D6" s="18" t="str">
        <x:v>北海道</x:v>
      </x:c>
      <x:c r="E6" s="18" t="str">
        <x:v>北海道</x:v>
      </x:c>
      <x:c r="F6" s="18" t="str">
        <x:v>2025-03-31</x:v>
      </x:c>
      <x:c r="G6" s="18" t="str">
        <x:v>Basic Data Found</x:v>
      </x:c>
      <x:c r="H6" s="18" t="str"/>
      <x:c r="I6" s="18" t="str">
        <x:v>https://www.shinkin.co.jp/hokumon/a_deisclosure.html</x:v>
      </x:c>
      <x:c r="J6" s="18" t="str">
        <x:v>https://www.shinkin-central-bank.jp/cgi-bin/s/index.cgi</x:v>
      </x:c>
      <x:c r="K6" s="52" t="n">
        <x:v>1008</x:v>
      </x:c>
      <x:c r="L6" s="59" t="n">
        <x:v>291904</x:v>
      </x:c>
      <x:c r="M6" s="19" t="n">
        <x:v>120492</x:v>
      </x:c>
      <x:c r="N6" s="24" t="n">
        <x:f>IFERROR(M6/L6,"")</x:f>
        <x:v>0.412779543959658</x:v>
      </x:c>
      <x:c r="O6" s="62" t="n">
        <x:v>0.1659</x:v>
      </x:c>
      <x:c r="P6" s="62" t="n">
        <x:v>0.0127</x:v>
      </x:c>
      <x:c r="Q6" s="52" t="str">
        <x:v>https://www.fsa.go.jp/policy/chusho/shihyou.html</x:v>
      </x:c>
      <x:c r="S6" s="34" t="str">
        <x:v>Basic Data Found</x:v>
      </x:c>
      <x:c r="T6" t="n">
        <x:v>254</x:v>
      </x:c>
    </x:row>
    <x:row r="7">
      <x:c r="A7" s="18" t="n">
        <x:v>6</x:v>
      </x:c>
      <x:c r="B7" s="18" t="str">
        <x:v>伊達信用金庫</x:v>
      </x:c>
      <x:c r="C7" s="18" t="str">
        <x:v>伊達</x:v>
      </x:c>
      <x:c r="D7" s="18" t="str">
        <x:v>北海道</x:v>
      </x:c>
      <x:c r="E7" s="18" t="str">
        <x:v>北海道</x:v>
      </x:c>
      <x:c r="F7" s="18" t="str">
        <x:v>2025-03-31</x:v>
      </x:c>
      <x:c r="G7" s="18" t="str">
        <x:v>IRRBB Found</x:v>
      </x:c>
      <x:c r="H7" s="18" t="str"/>
      <x:c r="I7" s="18" t="str">
        <x:v>https://www.shinkin.co.jp/dateshin/about/gaiyo/disclosure/</x:v>
      </x:c>
      <x:c r="J7" s="18" t="str">
        <x:v>https://www.shinkin-central-bank.jp/cgi-bin/s/index.cgi</x:v>
      </x:c>
      <x:c r="K7" s="52" t="n">
        <x:v>1009</x:v>
      </x:c>
      <x:c r="L7" s="59" t="n">
        <x:v>167983</x:v>
      </x:c>
      <x:c r="M7" s="19" t="n">
        <x:v>54630</x:v>
      </x:c>
      <x:c r="N7" s="24" t="n">
        <x:f>IFERROR(M7/L7,"")</x:f>
        <x:v>0.32521147973306824</x:v>
      </x:c>
      <x:c r="O7" s="62" t="n">
        <x:v>0.128</x:v>
      </x:c>
      <x:c r="P7" s="62" t="n">
        <x:v>0.0479</x:v>
      </x:c>
      <x:c r="Q7" s="52" t="str">
        <x:v>https://www.fsa.go.jp/policy/chusho/shihyou.html</x:v>
      </x:c>
      <x:c r="S7" s="34" t="str">
        <x:v>IRRBB Found</x:v>
      </x:c>
      <x:c r="T7" t="n">
        <x:v>0</x:v>
      </x:c>
    </x:row>
    <x:row r="8">
      <x:c r="A8" s="18" t="n">
        <x:v>7</x:v>
      </x:c>
      <x:c r="B8" s="18" t="str">
        <x:v>北空知信用金庫</x:v>
      </x:c>
      <x:c r="C8" s="18" t="str">
        <x:v>北空知</x:v>
      </x:c>
      <x:c r="D8" s="18" t="str">
        <x:v>北海道</x:v>
      </x:c>
      <x:c r="E8" s="18" t="str">
        <x:v>北海道</x:v>
      </x:c>
      <x:c r="F8" s="18" t="str">
        <x:v>2025-03-31</x:v>
      </x:c>
      <x:c r="G8" s="18" t="str">
        <x:v>Basic Data Found</x:v>
      </x:c>
      <x:c r="H8" s="18" t="str"/>
      <x:c r="I8" s="18" t="str">
        <x:v>https://www.kitashin-bank.co.jp/about/disclosure/</x:v>
      </x:c>
      <x:c r="J8" s="18" t="str">
        <x:v>https://www.shinkin-central-bank.jp/cgi-bin/s/index.cgi</x:v>
      </x:c>
      <x:c r="K8" s="52" t="n">
        <x:v>1010</x:v>
      </x:c>
      <x:c r="L8" s="60" t="n">
        <x:v>146710</x:v>
      </x:c>
      <x:c r="M8" s="60" t="n">
        <x:v>84927</x:v>
      </x:c>
      <x:c r="N8" s="63" t="n">
        <x:f>IFERROR(M8/L8,"")</x:f>
        <x:v>0.5788766955217777</x:v>
      </x:c>
      <x:c r="O8" s="62" t="n">
        <x:v>0.1264</x:v>
      </x:c>
      <x:c r="P8" s="62" t="n">
        <x:v>0.0196</x:v>
      </x:c>
      <x:c r="Q8" s="52" t="str">
        <x:v>https://www.fsa.go.jp/policy/chusho/shihyou.html</x:v>
      </x:c>
      <x:c r="S8" s="34" t="str">
        <x:v>Verified</x:v>
      </x:c>
      <x:c r="T8" t="n">
        <x:v>0</x:v>
      </x:c>
    </x:row>
    <x:row r="9">
      <x:c r="A9" s="18" t="n">
        <x:v>8</x:v>
      </x:c>
      <x:c r="B9" s="18" t="str">
        <x:v>日高信用金庫</x:v>
      </x:c>
      <x:c r="C9" s="18" t="str">
        <x:v>日高</x:v>
      </x:c>
      <x:c r="D9" s="18" t="str">
        <x:v>北海道</x:v>
      </x:c>
      <x:c r="E9" s="18" t="str">
        <x:v>北海道</x:v>
      </x:c>
      <x:c r="F9" s="18" t="str">
        <x:v>2025-03-31</x:v>
      </x:c>
      <x:c r="G9" s="18" t="str">
        <x:v>Basic Data Found</x:v>
      </x:c>
      <x:c r="H9" s="18" t="str"/>
      <x:c r="I9" s="18" t="str">
        <x:v>https://www.hidaka-shinkin.co.jp/about/disclosure.php</x:v>
      </x:c>
      <x:c r="J9" s="18" t="str">
        <x:v>https://www.shinkin-central-bank.jp/cgi-bin/s/index.cgi</x:v>
      </x:c>
      <x:c r="K9" s="52" t="n">
        <x:v>1011</x:v>
      </x:c>
      <x:c r="L9" s="60" t="n">
        <x:v>155501</x:v>
      </x:c>
      <x:c r="M9" s="60" t="n">
        <x:v>90424</x:v>
      </x:c>
      <x:c r="N9" s="63" t="n">
        <x:f>IFERROR(M9/L9,"")</x:f>
        <x:v>0.5815010835943177</x:v>
      </x:c>
      <x:c r="O9" s="62" t="n">
        <x:v>0.1741</x:v>
      </x:c>
      <x:c r="P9" s="62" t="n">
        <x:v>0.0352</x:v>
      </x:c>
      <x:c r="Q9" s="52" t="str">
        <x:v>https://www.fsa.go.jp/policy/chusho/shihyou.html</x:v>
      </x:c>
    </x:row>
    <x:row r="10">
      <x:c r="A10" s="18" t="n">
        <x:v>9</x:v>
      </x:c>
      <x:c r="B10" s="18" t="str">
        <x:v>渡島信用金庫</x:v>
      </x:c>
      <x:c r="C10" s="18" t="str">
        <x:v>渡島</x:v>
      </x:c>
      <x:c r="D10" s="18" t="str">
        <x:v>北海道</x:v>
      </x:c>
      <x:c r="E10" s="18" t="str">
        <x:v>北海道</x:v>
      </x:c>
      <x:c r="F10" s="18" t="str">
        <x:v>2025-03-31</x:v>
      </x:c>
      <x:c r="G10" s="18" t="str">
        <x:v>Basic Data Found</x:v>
      </x:c>
      <x:c r="H10" s="18" t="str"/>
      <x:c r="I10" s="18" t="str">
        <x:v>https://www.shinkin.co.jp/oshima/about/disclosure.html</x:v>
      </x:c>
      <x:c r="J10" s="18" t="str">
        <x:v>https://www.shinkin-central-bank.jp/cgi-bin/s/index.cgi</x:v>
      </x:c>
      <x:c r="K10" s="52" t="n">
        <x:v>1013</x:v>
      </x:c>
      <x:c r="L10" s="61" t="n">
        <x:v>214403</x:v>
      </x:c>
      <x:c r="M10" s="61" t="n">
        <x:v>152530</x:v>
      </x:c>
      <x:c r="N10" s="63" t="n">
        <x:f>IFERROR(M10/L10,"")</x:f>
        <x:v>0.7114172842730745</x:v>
      </x:c>
      <x:c r="O10" s="62" t="n">
        <x:v>0.11410000000000001</x:v>
      </x:c>
      <x:c r="P10" s="62" t="n">
        <x:v>0.0308</x:v>
      </x:c>
      <x:c r="Q10" s="52" t="str">
        <x:v>https://www.fsa.go.jp/policy/chusho/shihyou.html</x:v>
      </x:c>
    </x:row>
    <x:row r="11">
      <x:c r="A11" s="18" t="n">
        <x:v>10</x:v>
      </x:c>
      <x:c r="B11" s="18" t="str">
        <x:v>道南うみ街信用金庫</x:v>
      </x:c>
      <x:c r="C11" s="18" t="str">
        <x:v>道南うみ街</x:v>
      </x:c>
      <x:c r="D11" s="18" t="str">
        <x:v>北海道</x:v>
      </x:c>
      <x:c r="E11" s="18" t="str">
        <x:v>北海道</x:v>
      </x:c>
      <x:c r="F11" s="18" t="str">
        <x:v>2025-03-31</x:v>
      </x:c>
      <x:c r="G11" s="18" t="str">
        <x:v>Basic Data Found</x:v>
      </x:c>
      <x:c r="H11" s="18" t="str"/>
      <x:c r="I11" s="18" t="str">
        <x:v>https://www.d-umishin.co.jp/disclosure-curt/</x:v>
      </x:c>
      <x:c r="J11" s="18" t="str">
        <x:v>https://www.shinkin-central-bank.jp/cgi-bin/s/index.cgi</x:v>
      </x:c>
      <x:c r="K11" s="52" t="n">
        <x:v>1014</x:v>
      </x:c>
      <x:c r="L11" s="60" t="n">
        <x:v>304912</x:v>
      </x:c>
      <x:c r="M11" s="60" t="n">
        <x:v>117858</x:v>
      </x:c>
      <x:c r="N11" s="63" t="n">
        <x:f>IFERROR(M11/L11,"")</x:f>
        <x:v>0.38653119588602614</x:v>
      </x:c>
      <x:c r="O11" s="62" t="n">
        <x:v>0.07769999999999999</x:v>
      </x:c>
      <x:c r="P11" s="62" t="n">
        <x:v>0.0512</x:v>
      </x:c>
      <x:c r="Q11" s="52" t="str">
        <x:v>https://www.fsa.go.jp/policy/chusho/shihyou.html</x:v>
      </x:c>
    </x:row>
    <x:row r="12">
      <x:c r="A12" s="18" t="n">
        <x:v>11</x:v>
      </x:c>
      <x:c r="B12" s="18" t="str">
        <x:v>旭川信用金庫</x:v>
      </x:c>
      <x:c r="C12" s="18" t="str">
        <x:v>旭川</x:v>
      </x:c>
      <x:c r="D12" s="18" t="str">
        <x:v>北海道</x:v>
      </x:c>
      <x:c r="E12" s="18" t="str">
        <x:v>北海道</x:v>
      </x:c>
      <x:c r="F12" s="18" t="str">
        <x:v>2025-03-31</x:v>
      </x:c>
      <x:c r="G12" s="18" t="str">
        <x:v>Basic Data Found</x:v>
      </x:c>
      <x:c r="H12" s="18" t="str"/>
      <x:c r="I12" s="18" t="str">
        <x:v>https://www.shinkin.co.jp/ask/about/disclosure.html</x:v>
      </x:c>
      <x:c r="J12" s="18" t="str">
        <x:v>https://www.shinkin-central-bank.jp/cgi-bin/s/index.cgi</x:v>
      </x:c>
      <x:c r="K12" s="52" t="n">
        <x:v>1020</x:v>
      </x:c>
      <x:c r="L12" s="60" t="n">
        <x:v>1012366</x:v>
      </x:c>
      <x:c r="M12" s="60" t="n">
        <x:v>352310</x:v>
      </x:c>
      <x:c r="N12" s="63" t="n">
        <x:f>IFERROR(M12/L12,"")</x:f>
        <x:v>0.3480065509904521</x:v>
      </x:c>
      <x:c r="O12" s="62" t="n">
        <x:v>0.1782</x:v>
      </x:c>
      <x:c r="P12" s="62" t="n">
        <x:v>0.030899999999999997</x:v>
      </x:c>
      <x:c r="Q12" s="52" t="str">
        <x:v>https://www.fsa.go.jp/policy/chusho/shihyou.html</x:v>
      </x:c>
    </x:row>
    <x:row r="13">
      <x:c r="A13" s="18" t="n">
        <x:v>12</x:v>
      </x:c>
      <x:c r="B13" s="18" t="str">
        <x:v>稚内信用金庫</x:v>
      </x:c>
      <x:c r="C13" s="18" t="str">
        <x:v>稚内</x:v>
      </x:c>
      <x:c r="D13" s="18" t="str">
        <x:v>北海道</x:v>
      </x:c>
      <x:c r="E13" s="18" t="str">
        <x:v>北海道</x:v>
      </x:c>
      <x:c r="F13" s="18" t="str">
        <x:v>2025-03-31</x:v>
      </x:c>
      <x:c r="G13" s="18" t="str">
        <x:v>IRRBB Found</x:v>
      </x:c>
      <x:c r="H13" s="18" t="str"/>
      <x:c r="I13" s="18" t="str">
        <x:v>https://www.shinkin.co.jp/wakashin/07-06.html</x:v>
      </x:c>
      <x:c r="J13" s="18" t="str">
        <x:v>https://www.shinkin-central-bank.jp/cgi-bin/s/index.cgi</x:v>
      </x:c>
      <x:c r="K13" s="52" t="n">
        <x:v>1021</x:v>
      </x:c>
      <x:c r="L13" s="60" t="n">
        <x:v>464435</x:v>
      </x:c>
      <x:c r="M13" s="60" t="n">
        <x:v>80227</x:v>
      </x:c>
      <x:c r="N13" s="63" t="n">
        <x:f>IFERROR(M13/L13,"")</x:f>
        <x:v>0.17274107248592377</x:v>
      </x:c>
      <x:c r="O13" s="62" t="n">
        <x:v>0.6186</x:v>
      </x:c>
      <x:c r="P13" s="62" t="n">
        <x:v>0.048600000000000004</x:v>
      </x:c>
      <x:c r="Q13" s="52" t="str">
        <x:v>https://www.fsa.go.jp/policy/chusho/shihyou.html</x:v>
      </x:c>
    </x:row>
    <x:row r="14">
      <x:c r="A14" s="18" t="n">
        <x:v>13</x:v>
      </x:c>
      <x:c r="B14" s="18" t="str">
        <x:v>留萌信用金庫</x:v>
      </x:c>
      <x:c r="C14" s="18" t="str">
        <x:v>留萌</x:v>
      </x:c>
      <x:c r="D14" s="18" t="str">
        <x:v>北海道</x:v>
      </x:c>
      <x:c r="E14" s="18" t="str">
        <x:v>北海道</x:v>
      </x:c>
      <x:c r="F14" s="18" t="str">
        <x:v>2025-03-31</x:v>
      </x:c>
      <x:c r="G14" s="18" t="str">
        <x:v>Basic Data Found</x:v>
      </x:c>
      <x:c r="H14" s="18" t="str"/>
      <x:c r="I14" s="18" t="str">
        <x:v>https://www.shinkin.co.jp/rumoi/about/discloser.html</x:v>
      </x:c>
      <x:c r="J14" s="18" t="str">
        <x:v>https://www.shinkin-central-bank.jp/cgi-bin/s/index.cgi</x:v>
      </x:c>
      <x:c r="K14" s="52" t="n">
        <x:v>1022</x:v>
      </x:c>
      <x:c r="L14" s="60" t="n">
        <x:v>259571</x:v>
      </x:c>
      <x:c r="M14" s="60" t="n">
        <x:v>133954</x:v>
      </x:c>
      <x:c r="N14" s="63" t="n">
        <x:f>IFERROR(M14/L14,"")</x:f>
        <x:v>0.5160591899711447</x:v>
      </x:c>
      <x:c r="O14" s="62" t="n">
        <x:v>0.16649999999999998</x:v>
      </x:c>
      <x:c r="P14" s="62" t="n">
        <x:v>0.026600000000000002</x:v>
      </x:c>
      <x:c r="Q14" s="52" t="str">
        <x:v>https://www.fsa.go.jp/policy/chusho/shihyou.html</x:v>
      </x:c>
    </x:row>
    <x:row r="15">
      <x:c r="A15" s="18" t="n">
        <x:v>14</x:v>
      </x:c>
      <x:c r="B15" s="18" t="str">
        <x:v>北星信用金庫</x:v>
      </x:c>
      <x:c r="C15" s="18" t="str">
        <x:v>北星</x:v>
      </x:c>
      <x:c r="D15" s="18" t="str">
        <x:v>北海道</x:v>
      </x:c>
      <x:c r="E15" s="18" t="str">
        <x:v>北海道</x:v>
      </x:c>
      <x:c r="F15" s="18" t="str">
        <x:v>2025-03-31</x:v>
      </x:c>
      <x:c r="G15" s="18" t="str">
        <x:v>Basic Data Found</x:v>
      </x:c>
      <x:c r="H15" s="18" t="str"/>
      <x:c r="I15" s="18" t="str">
        <x:v>https://www.hokusei-shinkin.co.jp/hotnews/category/101.html</x:v>
      </x:c>
      <x:c r="J15" s="18" t="str">
        <x:v>https://www.shinkin-central-bank.jp/cgi-bin/s/index.cgi</x:v>
      </x:c>
      <x:c r="K15" s="52" t="n">
        <x:v>1024</x:v>
      </x:c>
      <x:c r="L15" s="60" t="n">
        <x:v>307456</x:v>
      </x:c>
      <x:c r="M15" s="60" t="n">
        <x:v>126017</x:v>
      </x:c>
      <x:c r="N15" s="63" t="n">
        <x:f>IFERROR(M15/L15,"")</x:f>
        <x:v>0.4098700301831807</x:v>
      </x:c>
      <x:c r="O15" s="62" t="n">
        <x:v>0.165</x:v>
      </x:c>
      <x:c r="P15" s="62" t="n">
        <x:v>0.023799999999999998</x:v>
      </x:c>
      <x:c r="Q15" s="52" t="str">
        <x:v>https://www.fsa.go.jp/policy/chusho/shihyou.html</x:v>
      </x:c>
    </x:row>
    <x:row r="16">
      <x:c r="A16" s="18" t="n">
        <x:v>15</x:v>
      </x:c>
      <x:c r="B16" s="18" t="str">
        <x:v>帯広信用金庫</x:v>
      </x:c>
      <x:c r="C16" s="18" t="str">
        <x:v>帯広</x:v>
      </x:c>
      <x:c r="D16" s="18" t="str">
        <x:v>北海道</x:v>
      </x:c>
      <x:c r="E16" s="18" t="str">
        <x:v>北海道</x:v>
      </x:c>
      <x:c r="F16" s="18" t="str">
        <x:v>2025-03-31</x:v>
      </x:c>
      <x:c r="G16" s="18" t="str">
        <x:v>Basic Data Found</x:v>
      </x:c>
      <x:c r="H16" s="18" t="str"/>
      <x:c r="I16" s="18" t="str">
        <x:v>https://www.shinkin.co.jp/obishin/company/disclosure/</x:v>
      </x:c>
      <x:c r="J16" s="18" t="str">
        <x:v>https://www.shinkin-central-bank.jp/cgi-bin/s/index.cgi</x:v>
      </x:c>
      <x:c r="K16" s="52" t="n">
        <x:v>1026</x:v>
      </x:c>
      <x:c r="L16" s="60" t="n">
        <x:v>863453</x:v>
      </x:c>
      <x:c r="M16" s="60" t="n">
        <x:v>360556</x:v>
      </x:c>
      <x:c r="N16" s="63" t="n">
        <x:f>IFERROR(M16/L16,"")</x:f>
        <x:v>0.41757455240760066</x:v>
      </x:c>
      <x:c r="O16" s="62" t="n">
        <x:v>0.154</x:v>
      </x:c>
      <x:c r="P16" s="62" t="n">
        <x:v>0.0337</x:v>
      </x:c>
      <x:c r="Q16" s="52" t="str">
        <x:v>https://www.fsa.go.jp/policy/chusho/shihyou.html</x:v>
      </x:c>
    </x:row>
    <x:row r="17">
      <x:c r="A17" s="18" t="n">
        <x:v>16</x:v>
      </x:c>
      <x:c r="B17" s="18" t="str">
        <x:v>釧路信用金庫</x:v>
      </x:c>
      <x:c r="C17" s="18" t="str">
        <x:v>釧路</x:v>
      </x:c>
      <x:c r="D17" s="18" t="str">
        <x:v>北海道</x:v>
      </x:c>
      <x:c r="E17" s="18" t="str">
        <x:v>北海道</x:v>
      </x:c>
      <x:c r="F17" s="18" t="str">
        <x:v>2025-03-31</x:v>
      </x:c>
      <x:c r="G17" s="18" t="str">
        <x:v>Basic Data Found</x:v>
      </x:c>
      <x:c r="H17" s="18" t="str"/>
      <x:c r="I17" s="18" t="str">
        <x:v>https://www.shinkin.co.jp/kushiro/disclosure.html </x:v>
      </x:c>
      <x:c r="J17" s="18" t="str">
        <x:v>https://www.shinkin-central-bank.jp/cgi-bin/s/index.cgi</x:v>
      </x:c>
      <x:c r="K17" s="52" t="n">
        <x:v>1027</x:v>
      </x:c>
      <x:c r="L17" s="60" t="n">
        <x:v>262259</x:v>
      </x:c>
      <x:c r="M17" s="60" t="n">
        <x:v>125666</x:v>
      </x:c>
      <x:c r="N17" s="63" t="n">
        <x:f>IFERROR(M17/L17,"")</x:f>
        <x:v>0.47916754048478793</x:v>
      </x:c>
      <x:c r="O17" s="62" t="n">
        <x:v>0.1128</x:v>
      </x:c>
      <x:c r="P17" s="62" t="n">
        <x:v>0.0775</x:v>
      </x:c>
      <x:c r="Q17" s="52" t="str">
        <x:v>https://www.fsa.go.jp/policy/chusho/shihyou.html</x:v>
      </x:c>
    </x:row>
    <x:row r="18">
      <x:c r="A18" s="18" t="n">
        <x:v>17</x:v>
      </x:c>
      <x:c r="B18" s="18" t="str">
        <x:v>大地みらい信用金庫</x:v>
      </x:c>
      <x:c r="C18" s="18" t="str">
        <x:v>大地みらい</x:v>
      </x:c>
      <x:c r="D18" s="18" t="str">
        <x:v>北海道</x:v>
      </x:c>
      <x:c r="E18" s="18" t="str">
        <x:v>北海道</x:v>
      </x:c>
      <x:c r="F18" s="18" t="str">
        <x:v>2025-03-31</x:v>
      </x:c>
      <x:c r="G18" s="18" t="str">
        <x:v>IRRBB Found</x:v>
      </x:c>
      <x:c r="H18" s="18" t="str"/>
      <x:c r="I18" s="18" t="str">
        <x:v>https://www.daichimirai.co.jp/company/disclosure.html</x:v>
      </x:c>
      <x:c r="J18" s="18" t="str">
        <x:v>https://www.shinkin-central-bank.jp/cgi-bin/s/index.cgi</x:v>
      </x:c>
      <x:c r="K18" s="52" t="n">
        <x:v>1028</x:v>
      </x:c>
      <x:c r="L18" s="60" t="n">
        <x:v>423882</x:v>
      </x:c>
      <x:c r="M18" s="60" t="n">
        <x:v>128178</x:v>
      </x:c>
      <x:c r="N18" s="63" t="n">
        <x:f>IFERROR(M18/L18,"")</x:f>
        <x:v>0.30239075969255597</x:v>
      </x:c>
      <x:c r="O18" s="62" t="n">
        <x:v>0.2241</x:v>
      </x:c>
      <x:c r="P18" s="62" t="n">
        <x:v>0.0984</x:v>
      </x:c>
      <x:c r="Q18" s="52" t="str">
        <x:v>https://www.fsa.go.jp/policy/chusho/shihyou.html</x:v>
      </x:c>
    </x:row>
    <x:row r="19">
      <x:c r="A19" s="18" t="n">
        <x:v>18</x:v>
      </x:c>
      <x:c r="B19" s="18" t="str">
        <x:v>北見信用金庫</x:v>
      </x:c>
      <x:c r="C19" s="18" t="str">
        <x:v>北見</x:v>
      </x:c>
      <x:c r="D19" s="18" t="str">
        <x:v>北海道</x:v>
      </x:c>
      <x:c r="E19" s="18" t="str">
        <x:v>北海道</x:v>
      </x:c>
      <x:c r="F19" s="18" t="str">
        <x:v>2025-03-31</x:v>
      </x:c>
      <x:c r="G19" s="18" t="str">
        <x:v>Basic Data Found</x:v>
      </x:c>
      <x:c r="H19" s="18" t="str"/>
      <x:c r="I19" s="18" t="str">
        <x:v>https://www.shinkin.co.jp/kitami/disclosure/index.html</x:v>
      </x:c>
      <x:c r="J19" s="18" t="str">
        <x:v>https://www.shinkin-central-bank.jp/cgi-bin/s/index.cgi</x:v>
      </x:c>
      <x:c r="K19" s="52" t="n">
        <x:v>1030</x:v>
      </x:c>
      <x:c r="L19" s="60" t="n">
        <x:v>573748</x:v>
      </x:c>
      <x:c r="M19" s="60" t="n">
        <x:v>208174</x:v>
      </x:c>
      <x:c r="N19" s="63" t="n">
        <x:f>IFERROR(M19/L19,"")</x:f>
        <x:v>0.36283176586236465</x:v>
      </x:c>
      <x:c r="O19" s="62" t="n">
        <x:v>0.1542</x:v>
      </x:c>
      <x:c r="P19" s="62" t="n">
        <x:v>0.0634</x:v>
      </x:c>
      <x:c r="Q19" s="52" t="str">
        <x:v>https://www.fsa.go.jp/policy/chusho/shihyou.html</x:v>
      </x:c>
    </x:row>
    <x:row r="20">
      <x:c r="A20" s="18" t="n">
        <x:v>19</x:v>
      </x:c>
      <x:c r="B20" s="18" t="str">
        <x:v>網走信用金庫</x:v>
      </x:c>
      <x:c r="C20" s="18" t="str">
        <x:v>網走</x:v>
      </x:c>
      <x:c r="D20" s="18" t="str">
        <x:v>北海道</x:v>
      </x:c>
      <x:c r="E20" s="18" t="str">
        <x:v>北海道</x:v>
      </x:c>
      <x:c r="F20" s="18" t="str">
        <x:v>2025-03-31</x:v>
      </x:c>
      <x:c r="G20" s="18" t="str">
        <x:v>Basic Data Found</x:v>
      </x:c>
      <x:c r="H20" s="18" t="str"/>
      <x:c r="I20" s="18" t="str">
        <x:v>https://www.shinkin.co.jp/abashiri/about/disclosure.php</x:v>
      </x:c>
      <x:c r="J20" s="18" t="str">
        <x:v>https://www.shinkin-central-bank.jp/cgi-bin/s/index.cgi</x:v>
      </x:c>
      <x:c r="K20" s="52" t="n">
        <x:v>1031</x:v>
      </x:c>
      <x:c r="L20" s="60" t="n">
        <x:v>305710</x:v>
      </x:c>
      <x:c r="M20" s="60" t="n">
        <x:v>106019</x:v>
      </x:c>
      <x:c r="N20" s="63" t="n">
        <x:f>IFERROR(M20/L20,"")</x:f>
        <x:v>0.3467959831212587</x:v>
      </x:c>
      <x:c r="O20" s="62" t="n">
        <x:v>0.3406</x:v>
      </x:c>
      <x:c r="P20" s="62" t="n">
        <x:v>0.0425</x:v>
      </x:c>
      <x:c r="Q20" s="52" t="str">
        <x:v>https://www.fsa.go.jp/policy/chusho/shihyou.html</x:v>
      </x:c>
    </x:row>
    <x:row r="21">
      <x:c r="A21" s="18" t="n">
        <x:v>20</x:v>
      </x:c>
      <x:c r="B21" s="18" t="str">
        <x:v>遠軽信用金庫</x:v>
      </x:c>
      <x:c r="C21" s="18" t="str">
        <x:v>遠軽</x:v>
      </x:c>
      <x:c r="D21" s="18" t="str">
        <x:v>北海道</x:v>
      </x:c>
      <x:c r="E21" s="18" t="str">
        <x:v>北海道</x:v>
      </x:c>
      <x:c r="F21" s="18" t="str">
        <x:v>2025-03-31</x:v>
      </x:c>
      <x:c r="G21" s="18" t="str">
        <x:v>Basic Data Found</x:v>
      </x:c>
      <x:c r="H21" s="18" t="str"/>
      <x:c r="I21" s="18" t="str">
        <x:v>https://www.shinkin.co.jp/engaru/aboutus05_disclosure.html</x:v>
      </x:c>
      <x:c r="J21" s="18" t="str">
        <x:v>https://www.shinkin-central-bank.jp/cgi-bin/s/index.cgi</x:v>
      </x:c>
      <x:c r="K21" s="52" t="n">
        <x:v>1033</x:v>
      </x:c>
      <x:c r="L21" s="60" t="n">
        <x:v>386036</x:v>
      </x:c>
      <x:c r="M21" s="60" t="n">
        <x:v>186848</x:v>
      </x:c>
      <x:c r="N21" s="63" t="n">
        <x:f>IFERROR(M21/L21,"")</x:f>
        <x:v>0.48401703468070334</x:v>
      </x:c>
      <x:c r="O21" s="62" t="n">
        <x:v>0.2193</x:v>
      </x:c>
      <x:c r="P21" s="62" t="n">
        <x:v>0.0058</x:v>
      </x:c>
      <x:c r="Q21" s="52" t="str">
        <x:v>https://www.fsa.go.jp/policy/chusho/shihyou.html</x:v>
      </x:c>
    </x:row>
    <x:row r="22">
      <x:c r="A22" s="18" t="n">
        <x:v>21</x:v>
      </x:c>
      <x:c r="B22" s="18" t="str">
        <x:v>東奥信用金庫</x:v>
      </x:c>
      <x:c r="C22" s="18" t="str">
        <x:v>東奥</x:v>
      </x:c>
      <x:c r="D22" s="18" t="str">
        <x:v>青森県</x:v>
      </x:c>
      <x:c r="E22" s="18" t="str">
        <x:v>東北</x:v>
      </x:c>
      <x:c r="F22" s="18" t="str">
        <x:v>2025-03-31</x:v>
      </x:c>
      <x:c r="G22" s="18" t="str">
        <x:v>Basic Data Found</x:v>
      </x:c>
      <x:c r="H22" s="18" t="str"/>
      <x:c r="I22" s="18" t="str">
        <x:v>https://www.shinkin.co.jp/toshin/04-3.html</x:v>
      </x:c>
      <x:c r="J22" s="18" t="str">
        <x:v>https://www.shinkin-central-bank.jp/cgi-bin/s/index.cgi</x:v>
      </x:c>
      <x:c r="K22" s="52" t="n">
        <x:v>1104</x:v>
      </x:c>
      <x:c r="L22" s="60" t="n">
        <x:v>181649</x:v>
      </x:c>
      <x:c r="M22" s="60" t="n">
        <x:v>84778</x:v>
      </x:c>
      <x:c r="N22" s="63" t="n">
        <x:f>IFERROR(M22/L22,"")</x:f>
        <x:v>0.46671327670397306</x:v>
      </x:c>
      <x:c r="O22" s="62" t="n">
        <x:v>0.1445</x:v>
      </x:c>
      <x:c r="P22" s="62" t="n">
        <x:v>0.0455</x:v>
      </x:c>
      <x:c r="Q22" s="52" t="str">
        <x:v>https://www.fsa.go.jp/policy/chusho/shihyou.html</x:v>
      </x:c>
    </x:row>
    <x:row r="23">
      <x:c r="A23" s="18" t="n">
        <x:v>22</x:v>
      </x:c>
      <x:c r="B23" s="18" t="str">
        <x:v>青い森信用金庫</x:v>
      </x:c>
      <x:c r="C23" s="18" t="str">
        <x:v>青い森</x:v>
      </x:c>
      <x:c r="D23" s="18" t="str">
        <x:v>青森県</x:v>
      </x:c>
      <x:c r="E23" s="18" t="str">
        <x:v>東北</x:v>
      </x:c>
      <x:c r="F23" s="18" t="str">
        <x:v>2025-03-31</x:v>
      </x:c>
      <x:c r="G23" s="18" t="str">
        <x:v>Basic Data Found</x:v>
      </x:c>
      <x:c r="H23" s="18" t="str"/>
      <x:c r="I23" s="18" t="str">
        <x:v>https://www.aoimorishinkin.co.jp/disclo.html</x:v>
      </x:c>
      <x:c r="J23" s="18" t="str">
        <x:v>https://www.shinkin-central-bank.jp/cgi-bin/s/index.cgi</x:v>
      </x:c>
      <x:c r="K23" s="52" t="n">
        <x:v>1105</x:v>
      </x:c>
      <x:c r="L23" s="60" t="n">
        <x:v>630735</x:v>
      </x:c>
      <x:c r="M23" s="60" t="n">
        <x:v>233173</x:v>
      </x:c>
      <x:c r="N23" s="63" t="n">
        <x:f>IFERROR(M23/L23,"")</x:f>
        <x:v>0.36968457434580293</x:v>
      </x:c>
      <x:c r="O23" s="62" t="n">
        <x:v>0.11220000000000001</x:v>
      </x:c>
      <x:c r="P23" s="62" t="n">
        <x:v>0.0667</x:v>
      </x:c>
      <x:c r="Q23" s="52" t="str">
        <x:v>https://www.fsa.go.jp/policy/chusho/shihyou.html</x:v>
      </x:c>
    </x:row>
    <x:row r="24">
      <x:c r="A24" s="18" t="n">
        <x:v>23</x:v>
      </x:c>
      <x:c r="B24" s="18" t="str">
        <x:v>秋田信用金庫</x:v>
      </x:c>
      <x:c r="C24" s="18" t="str">
        <x:v>秋田</x:v>
      </x:c>
      <x:c r="D24" s="18" t="str">
        <x:v>秋田県</x:v>
      </x:c>
      <x:c r="E24" s="18" t="str">
        <x:v>東北</x:v>
      </x:c>
      <x:c r="F24" s="18" t="str">
        <x:v>2025-03-31</x:v>
      </x:c>
      <x:c r="G24" s="18" t="str">
        <x:v>Basic Data Found</x:v>
      </x:c>
      <x:c r="H24" s="18" t="str"/>
      <x:c r="I24" s="18" t="str">
        <x:v>https://www.shinkin.co.jp/akishin/about/disclosure.html</x:v>
      </x:c>
      <x:c r="J24" s="18" t="str">
        <x:v>https://www.shinkin-central-bank.jp/cgi-bin/s/index.cgi</x:v>
      </x:c>
      <x:c r="K24" s="52" t="n">
        <x:v>1120</x:v>
      </x:c>
      <x:c r="L24" s="60" t="n">
        <x:v>142691</x:v>
      </x:c>
      <x:c r="M24" s="60" t="n">
        <x:v>82882</x:v>
      </x:c>
      <x:c r="N24" s="63" t="n">
        <x:f>IFERROR(M24/L24,"")</x:f>
        <x:v>0.5808495280010653</x:v>
      </x:c>
      <x:c r="O24" s="62" t="n">
        <x:v>0.1231</x:v>
      </x:c>
      <x:c r="P24" s="62" t="n">
        <x:v>0.0538</x:v>
      </x:c>
      <x:c r="Q24" s="52" t="str">
        <x:v>https://www.fsa.go.jp/policy/chusho/shihyou.html</x:v>
      </x:c>
    </x:row>
    <x:row r="25">
      <x:c r="A25" s="18" t="n">
        <x:v>24</x:v>
      </x:c>
      <x:c r="B25" s="18" t="str">
        <x:v>羽後信用金庫</x:v>
      </x:c>
      <x:c r="C25" s="18" t="str">
        <x:v>羽後</x:v>
      </x:c>
      <x:c r="D25" s="18" t="str">
        <x:v>秋田県</x:v>
      </x:c>
      <x:c r="E25" s="18" t="str">
        <x:v>東北</x:v>
      </x:c>
      <x:c r="F25" s="18" t="str">
        <x:v>2025-03-31</x:v>
      </x:c>
      <x:c r="G25" s="18" t="str">
        <x:v>Basic Data Found</x:v>
      </x:c>
      <x:c r="H25" s="18" t="str"/>
      <x:c r="I25" s="18" t="str">
        <x:v>http://www.ugoshinkin.jp/company/disclosure.html</x:v>
      </x:c>
      <x:c r="J25" s="18" t="str">
        <x:v>https://www.shinkin-central-bank.jp/cgi-bin/s/index.cgi</x:v>
      </x:c>
      <x:c r="K25" s="52" t="n">
        <x:v>1123</x:v>
      </x:c>
      <x:c r="L25" s="60" t="n">
        <x:v>148982</x:v>
      </x:c>
      <x:c r="M25" s="60" t="n">
        <x:v>71582</x:v>
      </x:c>
      <x:c r="N25" s="63" t="n">
        <x:f>IFERROR(M25/L25,"")</x:f>
        <x:v>0.48047415123974707</x:v>
      </x:c>
      <x:c r="O25" s="62" t="n">
        <x:v>0.0998</x:v>
      </x:c>
      <x:c r="P25" s="62" t="n">
        <x:v>0.1059</x:v>
      </x:c>
      <x:c r="Q25" s="52" t="str">
        <x:v>https://www.fsa.go.jp/policy/chusho/shihyou.html</x:v>
      </x:c>
    </x:row>
    <x:row r="26">
      <x:c r="A26" s="18" t="n">
        <x:v>25</x:v>
      </x:c>
      <x:c r="B26" s="18" t="str">
        <x:v>山形信用金庫</x:v>
      </x:c>
      <x:c r="C26" s="18" t="str">
        <x:v>山形</x:v>
      </x:c>
      <x:c r="D26" s="18" t="str">
        <x:v>山形県</x:v>
      </x:c>
      <x:c r="E26" s="18" t="str">
        <x:v>東北</x:v>
      </x:c>
      <x:c r="F26" s="18" t="str">
        <x:v>2025-03-31</x:v>
      </x:c>
      <x:c r="G26" s="18" t="str">
        <x:v>Basic Data Found</x:v>
      </x:c>
      <x:c r="H26" s="18" t="str"/>
      <x:c r="I26" s="18" t="str">
        <x:v>https://www.shinkin.co.jp/y-shinkin/about/disclosure.php</x:v>
      </x:c>
      <x:c r="J26" s="18" t="str">
        <x:v>https://www.shinkin-central-bank.jp/cgi-bin/s/index.cgi</x:v>
      </x:c>
      <x:c r="K26" s="52" t="n">
        <x:v>1140</x:v>
      </x:c>
      <x:c r="L26" s="60" t="n">
        <x:v>137503</x:v>
      </x:c>
      <x:c r="M26" s="60" t="n">
        <x:v>85671</x:v>
      </x:c>
      <x:c r="N26" s="63" t="n">
        <x:f>IFERROR(M26/L26,"")</x:f>
        <x:v>0.6230482244023767</x:v>
      </x:c>
      <x:c r="O26" s="62" t="n">
        <x:v>0.1193</x:v>
      </x:c>
      <x:c r="P26" s="62" t="n">
        <x:v>0.0403</x:v>
      </x:c>
      <x:c r="Q26" s="52" t="str">
        <x:v>https://www.fsa.go.jp/policy/chusho/shihyou.html</x:v>
      </x:c>
    </x:row>
    <x:row r="27">
      <x:c r="A27" s="18" t="n">
        <x:v>26</x:v>
      </x:c>
      <x:c r="B27" s="18" t="str">
        <x:v>米沢信用金庫</x:v>
      </x:c>
      <x:c r="C27" s="18" t="str">
        <x:v>米沢</x:v>
      </x:c>
      <x:c r="D27" s="18" t="str">
        <x:v>山形県</x:v>
      </x:c>
      <x:c r="E27" s="18" t="str">
        <x:v>東北</x:v>
      </x:c>
      <x:c r="F27" s="18" t="str">
        <x:v>2025-03-31</x:v>
      </x:c>
      <x:c r="G27" s="18" t="str">
        <x:v>Basic Data Found</x:v>
      </x:c>
      <x:c r="H27" s="18" t="str"/>
      <x:c r="I27" s="18" t="str">
        <x:v>https://www.shinkin.co.jp/yonezawa/about_disclosure.html</x:v>
      </x:c>
      <x:c r="J27" s="18" t="str">
        <x:v>https://www.shinkin-central-bank.jp/cgi-bin/s/index.cgi</x:v>
      </x:c>
      <x:c r="K27" s="52" t="n">
        <x:v>1141</x:v>
      </x:c>
      <x:c r="L27" s="60" t="n">
        <x:v>163045</x:v>
      </x:c>
      <x:c r="M27" s="60" t="n">
        <x:v>67147</x:v>
      </x:c>
      <x:c r="N27" s="63" t="n">
        <x:f>IFERROR(M27/L27,"")</x:f>
        <x:v>0.4118310895764973</x:v>
      </x:c>
      <x:c r="O27" s="62" t="n">
        <x:v>0.18170000000000003</x:v>
      </x:c>
      <x:c r="P27" s="62" t="n">
        <x:v>0.0622</x:v>
      </x:c>
      <x:c r="Q27" s="52" t="str">
        <x:v>https://www.fsa.go.jp/policy/chusho/shihyou.html</x:v>
      </x:c>
    </x:row>
    <x:row r="28">
      <x:c r="A28" s="18" t="n">
        <x:v>27</x:v>
      </x:c>
      <x:c r="B28" s="18" t="str">
        <x:v>鶴岡信用金庫</x:v>
      </x:c>
      <x:c r="C28" s="18" t="str">
        <x:v>鶴岡</x:v>
      </x:c>
      <x:c r="D28" s="18" t="str">
        <x:v>山形県</x:v>
      </x:c>
      <x:c r="E28" s="18" t="str">
        <x:v>東北</x:v>
      </x:c>
      <x:c r="F28" s="18" t="str">
        <x:v>2025-03-31</x:v>
      </x:c>
      <x:c r="G28" s="18" t="str">
        <x:v>Basic Data Found</x:v>
      </x:c>
      <x:c r="H28" s="18" t="str"/>
      <x:c r="I28" s="18" t="str">
        <x:v>https://www.tsuruoka-sk.jp/disclosure/</x:v>
      </x:c>
      <x:c r="J28" s="18" t="str">
        <x:v>https://www.shinkin-central-bank.jp/cgi-bin/s/index.cgi</x:v>
      </x:c>
      <x:c r="K28" s="52" t="n">
        <x:v>1142</x:v>
      </x:c>
      <x:c r="L28" s="60" t="n">
        <x:v>205667</x:v>
      </x:c>
      <x:c r="M28" s="60" t="n">
        <x:v>80494</x:v>
      </x:c>
      <x:c r="N28" s="63" t="n">
        <x:f>IFERROR(M28/L28,"")</x:f>
        <x:v>0.3913802408748122</x:v>
      </x:c>
      <x:c r="O28" s="62" t="n">
        <x:v>0.2212</x:v>
      </x:c>
      <x:c r="P28" s="62" t="n">
        <x:v>0.0601</x:v>
      </x:c>
      <x:c r="Q28" s="52" t="str">
        <x:v>https://www.fsa.go.jp/policy/chusho/shihyou.html</x:v>
      </x:c>
    </x:row>
    <x:row r="29">
      <x:c r="A29" s="18" t="n">
        <x:v>28</x:v>
      </x:c>
      <x:c r="B29" s="18" t="str">
        <x:v>新庄信用金庫</x:v>
      </x:c>
      <x:c r="C29" s="18" t="str">
        <x:v>新庄</x:v>
      </x:c>
      <x:c r="D29" s="18" t="str">
        <x:v>山形県</x:v>
      </x:c>
      <x:c r="E29" s="18" t="str">
        <x:v>東北</x:v>
      </x:c>
      <x:c r="F29" s="18" t="str">
        <x:v>2025-03-31</x:v>
      </x:c>
      <x:c r="G29" s="18" t="str">
        <x:v>Basic Data Found</x:v>
      </x:c>
      <x:c r="H29" s="18" t="str"/>
      <x:c r="I29" s="18" t="str">
        <x:v>http://www.shinjosk.co.jp/about/disclosure/index.html</x:v>
      </x:c>
      <x:c r="J29" s="18" t="str">
        <x:v>https://www.shinkin-central-bank.jp/cgi-bin/s/index.cgi</x:v>
      </x:c>
      <x:c r="K29" s="52" t="n">
        <x:v>1143</x:v>
      </x:c>
      <x:c r="L29" s="60" t="n">
        <x:v>76926</x:v>
      </x:c>
      <x:c r="M29" s="60" t="n">
        <x:v>43226</x:v>
      </x:c>
      <x:c r="N29" s="63" t="n">
        <x:f>IFERROR(M29/L29,"")</x:f>
        <x:v>0.5619166471674076</x:v>
      </x:c>
      <x:c r="O29" s="62" t="n">
        <x:v>0.147</x:v>
      </x:c>
      <x:c r="P29" s="62" t="n">
        <x:v>0.0663</x:v>
      </x:c>
      <x:c r="Q29" s="52" t="str">
        <x:v>https://www.fsa.go.jp/policy/chusho/shihyou.html</x:v>
      </x:c>
    </x:row>
    <x:row r="30">
      <x:c r="A30" s="18" t="n">
        <x:v>29</x:v>
      </x:c>
      <x:c r="B30" s="18" t="str">
        <x:v>盛岡信用金庫</x:v>
      </x:c>
      <x:c r="C30" s="18" t="str">
        <x:v>盛岡</x:v>
      </x:c>
      <x:c r="D30" s="18" t="str">
        <x:v>岩手県</x:v>
      </x:c>
      <x:c r="E30" s="18" t="str">
        <x:v>東北</x:v>
      </x:c>
      <x:c r="F30" s="18" t="str">
        <x:v>2025-03-31</x:v>
      </x:c>
      <x:c r="G30" s="18" t="str">
        <x:v>Basic Data Found</x:v>
      </x:c>
      <x:c r="H30" s="18" t="str"/>
      <x:c r="I30" s="18" t="str">
        <x:v>https://www.shinkin.co.jp/morishin/about/?id=disclo</x:v>
      </x:c>
      <x:c r="J30" s="18" t="str">
        <x:v>https://www.shinkin-central-bank.jp/cgi-bin/s/index.cgi</x:v>
      </x:c>
      <x:c r="K30" s="52" t="n">
        <x:v>1150</x:v>
      </x:c>
      <x:c r="L30" s="60" t="n">
        <x:v>263430</x:v>
      </x:c>
      <x:c r="M30" s="60" t="n">
        <x:v>127912</x:v>
      </x:c>
      <x:c r="N30" s="63" t="n">
        <x:f>IFERROR(M30/L30,"")</x:f>
        <x:v>0.4855635273127586</x:v>
      </x:c>
      <x:c r="O30" s="62" t="n">
        <x:v>0.092</x:v>
      </x:c>
      <x:c r="P30" s="62" t="n">
        <x:v>0.0567</x:v>
      </x:c>
      <x:c r="Q30" s="52" t="str">
        <x:v>https://www.fsa.go.jp/policy/chusho/shihyou.html</x:v>
      </x:c>
    </x:row>
    <x:row r="31">
      <x:c r="A31" s="18" t="n">
        <x:v>30</x:v>
      </x:c>
      <x:c r="B31" s="18" t="str">
        <x:v>宮古信用金庫</x:v>
      </x:c>
      <x:c r="C31" s="18" t="str">
        <x:v>宮古</x:v>
      </x:c>
      <x:c r="D31" s="18" t="str">
        <x:v>岩手県</x:v>
      </x:c>
      <x:c r="E31" s="18" t="str">
        <x:v>東北</x:v>
      </x:c>
      <x:c r="F31" s="18" t="str">
        <x:v>2025-03-31</x:v>
      </x:c>
      <x:c r="G31" s="18" t="str">
        <x:v>Basic Data Found</x:v>
      </x:c>
      <x:c r="H31" s="18" t="str"/>
      <x:c r="I31" s="18" t="str">
        <x:v>https://www.shinkin.co.jp/i-miyako/disclosure.html</x:v>
      </x:c>
      <x:c r="J31" s="18" t="str">
        <x:v>https://www.shinkin-central-bank.jp/cgi-bin/s/index.cgi</x:v>
      </x:c>
      <x:c r="K31" s="52" t="n">
        <x:v>1152</x:v>
      </x:c>
      <x:c r="L31" s="60" t="n">
        <x:v>63842</x:v>
      </x:c>
      <x:c r="M31" s="60" t="n">
        <x:v>25204</x:v>
      </x:c>
      <x:c r="N31" s="63" t="n">
        <x:f>IFERROR(M31/L31,"")</x:f>
        <x:v>0.3947871307289872</x:v>
      </x:c>
      <x:c r="O31" s="62" t="n">
        <x:v>0.5199</x:v>
      </x:c>
      <x:c r="P31" s="62" t="n">
        <x:v>0.0828</x:v>
      </x:c>
      <x:c r="Q31" s="52" t="str">
        <x:v>https://www.fsa.go.jp/policy/chusho/shihyou.html</x:v>
      </x:c>
    </x:row>
    <x:row r="32">
      <x:c r="A32" s="18" t="n">
        <x:v>31</x:v>
      </x:c>
      <x:c r="B32" s="18" t="str">
        <x:v>一関信用金庫</x:v>
      </x:c>
      <x:c r="C32" s="18" t="str">
        <x:v>一関</x:v>
      </x:c>
      <x:c r="D32" s="18" t="str">
        <x:v>岩手県</x:v>
      </x:c>
      <x:c r="E32" s="18" t="str">
        <x:v>東北</x:v>
      </x:c>
      <x:c r="F32" s="18" t="str">
        <x:v>2025-03-31</x:v>
      </x:c>
      <x:c r="G32" s="18" t="str">
        <x:v>Basic Data Found</x:v>
      </x:c>
      <x:c r="H32" s="18" t="str"/>
      <x:c r="I32" s="18" t="str">
        <x:v>http://ichinoseki-shinkin.jp/aboutus/disclosure/</x:v>
      </x:c>
      <x:c r="J32" s="18" t="str">
        <x:v>https://www.shinkin-central-bank.jp/cgi-bin/s/index.cgi</x:v>
      </x:c>
      <x:c r="K32" s="52" t="n">
        <x:v>1153</x:v>
      </x:c>
      <x:c r="L32" s="60" t="n">
        <x:v>239242</x:v>
      </x:c>
      <x:c r="M32" s="60" t="n">
        <x:v>94221</x:v>
      </x:c>
      <x:c r="N32" s="63" t="n">
        <x:f>IFERROR(M32/L32,"")</x:f>
        <x:v>0.39383135068257247</x:v>
      </x:c>
      <x:c r="O32" s="62" t="n">
        <x:v>0.1134</x:v>
      </x:c>
      <x:c r="P32" s="62" t="n">
        <x:v>0.0217</x:v>
      </x:c>
      <x:c r="Q32" s="52" t="str">
        <x:v>https://www.fsa.go.jp/policy/chusho/shihyou.html</x:v>
      </x:c>
    </x:row>
    <x:row r="33">
      <x:c r="A33" s="18" t="n">
        <x:v>32</x:v>
      </x:c>
      <x:c r="B33" s="18" t="str">
        <x:v>北上信用金庫</x:v>
      </x:c>
      <x:c r="C33" s="18" t="str">
        <x:v>北上</x:v>
      </x:c>
      <x:c r="D33" s="18" t="str">
        <x:v>岩手県</x:v>
      </x:c>
      <x:c r="E33" s="18" t="str">
        <x:v>東北</x:v>
      </x:c>
      <x:c r="F33" s="18" t="str">
        <x:v>2025-03-31</x:v>
      </x:c>
      <x:c r="G33" s="18" t="str">
        <x:v>Basic Data Found</x:v>
      </x:c>
      <x:c r="H33" s="18" t="str"/>
      <x:c r="I33" s="18" t="str">
        <x:v>https://www.shinkin.co.jp/kitakami/assets/pdf/about/disclosure/202503_report.pdf</x:v>
      </x:c>
      <x:c r="J33" s="18" t="str">
        <x:v>https://www.shinkin-central-bank.jp/cgi-bin/s/index.cgi</x:v>
      </x:c>
      <x:c r="K33" s="52" t="n">
        <x:v>1154</x:v>
      </x:c>
      <x:c r="L33" s="60" t="n">
        <x:v>102390</x:v>
      </x:c>
      <x:c r="M33" s="60" t="n">
        <x:v>50451</x:v>
      </x:c>
      <x:c r="N33" s="63" t="n">
        <x:f>IFERROR(M33/L33,"")</x:f>
        <x:v>0.4927336653970114</x:v>
      </x:c>
      <x:c r="O33" s="62" t="n">
        <x:v>0.1382</x:v>
      </x:c>
      <x:c r="P33" s="62" t="n">
        <x:v>0.036000000000000004</x:v>
      </x:c>
      <x:c r="Q33" s="52" t="str">
        <x:v>https://www.fsa.go.jp/policy/chusho/shihyou.html</x:v>
      </x:c>
    </x:row>
    <x:row r="34">
      <x:c r="A34" s="18" t="n">
        <x:v>33</x:v>
      </x:c>
      <x:c r="B34" s="18" t="str">
        <x:v>花巻信用金庫</x:v>
      </x:c>
      <x:c r="C34" s="18" t="str">
        <x:v>花巻</x:v>
      </x:c>
      <x:c r="D34" s="18" t="str">
        <x:v>岩手県</x:v>
      </x:c>
      <x:c r="E34" s="18" t="str">
        <x:v>東北</x:v>
      </x:c>
      <x:c r="F34" s="18" t="str">
        <x:v>2025-03-31</x:v>
      </x:c>
      <x:c r="G34" s="18" t="str">
        <x:v>Basic Data Found</x:v>
      </x:c>
      <x:c r="H34" s="18" t="str"/>
      <x:c r="I34" s="18" t="str">
        <x:v>https://www.shinkin.co.jp/hanamaki/kaiji.html</x:v>
      </x:c>
      <x:c r="J34" s="18" t="str">
        <x:v>https://www.shinkin-central-bank.jp/cgi-bin/s/index.cgi</x:v>
      </x:c>
      <x:c r="K34" s="52" t="n">
        <x:v>1155</x:v>
      </x:c>
      <x:c r="L34" s="60" t="n">
        <x:v>94283</x:v>
      </x:c>
      <x:c r="M34" s="60" t="n">
        <x:v>38336</x:v>
      </x:c>
      <x:c r="N34" s="63" t="n">
        <x:f>IFERROR(M34/L34,"")</x:f>
        <x:v>0.40660564470795374</x:v>
      </x:c>
      <x:c r="O34" s="62" t="n">
        <x:v>0.2064</x:v>
      </x:c>
      <x:c r="P34" s="62" t="n">
        <x:v>0.0353</x:v>
      </x:c>
      <x:c r="Q34" s="52" t="str">
        <x:v>https://www.fsa.go.jp/policy/chusho/shihyou.html</x:v>
      </x:c>
    </x:row>
    <x:row r="35">
      <x:c r="A35" s="18" t="n">
        <x:v>34</x:v>
      </x:c>
      <x:c r="B35" s="18" t="str">
        <x:v>水沢信用金庫</x:v>
      </x:c>
      <x:c r="C35" s="18" t="str">
        <x:v>水沢</x:v>
      </x:c>
      <x:c r="D35" s="18" t="str">
        <x:v>岩手県</x:v>
      </x:c>
      <x:c r="E35" s="18" t="str">
        <x:v>東北</x:v>
      </x:c>
      <x:c r="F35" s="18" t="str">
        <x:v>2025-03-31</x:v>
      </x:c>
      <x:c r="G35" s="18" t="str">
        <x:v>Basic Data Found</x:v>
      </x:c>
      <x:c r="H35" s="18" t="str"/>
      <x:c r="I35" s="18" t="str">
        <x:v>http://www.mizusawashinkin.co.jp/disclosure/</x:v>
      </x:c>
      <x:c r="J35" s="18" t="str">
        <x:v>https://www.shinkin-central-bank.jp/cgi-bin/s/index.cgi</x:v>
      </x:c>
      <x:c r="K35" s="52" t="n">
        <x:v>1156</x:v>
      </x:c>
      <x:c r="L35" s="60" t="n">
        <x:v>140908</x:v>
      </x:c>
      <x:c r="M35" s="60" t="n">
        <x:v>48404</x:v>
      </x:c>
      <x:c r="N35" s="63" t="n">
        <x:f>IFERROR(M35/L35,"")</x:f>
        <x:v>0.3435149175348454</x:v>
      </x:c>
      <x:c r="O35" s="62" t="n">
        <x:v>0.1361</x:v>
      </x:c>
      <x:c r="P35" s="62" t="n">
        <x:v>0.07769999999999999</x:v>
      </x:c>
      <x:c r="Q35" s="52" t="str">
        <x:v>https://www.fsa.go.jp/policy/chusho/shihyou.html</x:v>
      </x:c>
    </x:row>
    <x:row r="36">
      <x:c r="A36" s="18" t="n">
        <x:v>35</x:v>
      </x:c>
      <x:c r="B36" s="18" t="str">
        <x:v>杜の都信用金庫</x:v>
      </x:c>
      <x:c r="C36" s="18" t="str">
        <x:v>杜の都</x:v>
      </x:c>
      <x:c r="D36" s="18" t="str">
        <x:v>宮城県</x:v>
      </x:c>
      <x:c r="E36" s="18" t="str">
        <x:v>東北</x:v>
      </x:c>
      <x:c r="F36" s="18" t="str">
        <x:v>2025-03-31</x:v>
      </x:c>
      <x:c r="G36" s="18" t="str">
        <x:v>Basic Data Found</x:v>
      </x:c>
      <x:c r="H36" s="18" t="str"/>
      <x:c r="I36" s="18" t="str">
        <x:v>https://www.morinomiyako-shinkin.co.jp/corporation/disk.html</x:v>
      </x:c>
      <x:c r="J36" s="18" t="str">
        <x:v>https://www.shinkin-central-bank.jp/cgi-bin/s/index.cgi</x:v>
      </x:c>
      <x:c r="K36" s="52" t="n">
        <x:v>1170</x:v>
      </x:c>
      <x:c r="L36" s="60" t="n">
        <x:v>609830</x:v>
      </x:c>
      <x:c r="M36" s="60" t="n">
        <x:v>392855</x:v>
      </x:c>
      <x:c r="N36" s="63" t="n">
        <x:f>IFERROR(M36/L36,"")</x:f>
        <x:v>0.6442041224603579</x:v>
      </x:c>
      <x:c r="O36" s="62" t="n">
        <x:v>0.1155</x:v>
      </x:c>
      <x:c r="P36" s="62" t="n">
        <x:v>0.0296</x:v>
      </x:c>
      <x:c r="Q36" s="52" t="str">
        <x:v>https://www.fsa.go.jp/policy/chusho/shihyou.html</x:v>
      </x:c>
    </x:row>
    <x:row r="37">
      <x:c r="A37" s="18" t="n">
        <x:v>36</x:v>
      </x:c>
      <x:c r="B37" s="18" t="str">
        <x:v>宮城第一信用金庫</x:v>
      </x:c>
      <x:c r="C37" s="18" t="str">
        <x:v>宮城第一</x:v>
      </x:c>
      <x:c r="D37" s="18" t="str">
        <x:v>宮城県</x:v>
      </x:c>
      <x:c r="E37" s="18" t="str">
        <x:v>東北</x:v>
      </x:c>
      <x:c r="F37" s="18" t="str">
        <x:v>2025-03-31</x:v>
      </x:c>
      <x:c r="G37" s="18" t="str">
        <x:v>Basic Data Found</x:v>
      </x:c>
      <x:c r="H37" s="18" t="str"/>
      <x:c r="I37" s="18" t="str">
        <x:v>https://www.miyashinbank.co.jp/summary7.html</x:v>
      </x:c>
      <x:c r="J37" s="18" t="str">
        <x:v>https://www.shinkin-central-bank.jp/cgi-bin/s/index.cgi</x:v>
      </x:c>
      <x:c r="K37" s="52" t="n">
        <x:v>1171</x:v>
      </x:c>
      <x:c r="L37" s="60" t="n">
        <x:v>125042</x:v>
      </x:c>
      <x:c r="M37" s="60" t="n">
        <x:v>81811</x:v>
      </x:c>
      <x:c r="N37" s="63" t="n">
        <x:f>IFERROR(M37/L37,"")</x:f>
        <x:v>0.6542681658962588</x:v>
      </x:c>
      <x:c r="O37" s="62" t="n">
        <x:v>0.0849</x:v>
      </x:c>
      <x:c r="P37" s="62" t="n">
        <x:v>0.025</x:v>
      </x:c>
      <x:c r="Q37" s="52" t="str">
        <x:v>https://www.fsa.go.jp/policy/chusho/shihyou.html</x:v>
      </x:c>
    </x:row>
    <x:row r="38">
      <x:c r="A38" s="18" t="n">
        <x:v>37</x:v>
      </x:c>
      <x:c r="B38" s="18" t="str">
        <x:v>石巻信用金庫</x:v>
      </x:c>
      <x:c r="C38" s="18" t="str">
        <x:v>石巻</x:v>
      </x:c>
      <x:c r="D38" s="18" t="str">
        <x:v>宮城県</x:v>
      </x:c>
      <x:c r="E38" s="18" t="str">
        <x:v>東北</x:v>
      </x:c>
      <x:c r="F38" s="18" t="str">
        <x:v>2025-03-31</x:v>
      </x:c>
      <x:c r="G38" s="18" t="str">
        <x:v>Basic Data Found</x:v>
      </x:c>
      <x:c r="H38" s="18" t="str"/>
      <x:c r="I38" s="18" t="str">
        <x:v>http://www.i-shinkin.co.jp/aboutus/index.html</x:v>
      </x:c>
      <x:c r="J38" s="18" t="str">
        <x:v>https://www.shinkin-central-bank.jp/cgi-bin/s/index.cgi</x:v>
      </x:c>
      <x:c r="K38" s="52" t="n">
        <x:v>1172</x:v>
      </x:c>
      <x:c r="L38" s="60" t="n">
        <x:v>183142</x:v>
      </x:c>
      <x:c r="M38" s="60" t="n">
        <x:v>83488</x:v>
      </x:c>
      <x:c r="N38" s="63" t="n">
        <x:f>IFERROR(M38/L38,"")</x:f>
        <x:v>0.4558648480414105</x:v>
      </x:c>
      <x:c r="O38" s="62" t="n">
        <x:v>0.31739999999999996</x:v>
      </x:c>
      <x:c r="P38" s="62" t="n">
        <x:v>0.061799999999999994</x:v>
      </x:c>
      <x:c r="Q38" s="52" t="str">
        <x:v>https://www.fsa.go.jp/policy/chusho/shihyou.html</x:v>
      </x:c>
    </x:row>
    <x:row r="39">
      <x:c r="A39" s="18" t="n">
        <x:v>38</x:v>
      </x:c>
      <x:c r="B39" s="18" t="str">
        <x:v>仙南信用金庫</x:v>
      </x:c>
      <x:c r="C39" s="18" t="str">
        <x:v>仙南</x:v>
      </x:c>
      <x:c r="D39" s="18" t="str">
        <x:v>宮城県</x:v>
      </x:c>
      <x:c r="E39" s="18" t="str">
        <x:v>東北</x:v>
      </x:c>
      <x:c r="F39" s="18" t="str">
        <x:v>2025-03-31</x:v>
      </x:c>
      <x:c r="G39" s="18" t="str">
        <x:v>Basic Data Found</x:v>
      </x:c>
      <x:c r="H39" s="18" t="str"/>
      <x:c r="I39" s="18" t="str">
        <x:v>https://www.shinkin.co.jp/sennan/about/disclosure.php</x:v>
      </x:c>
      <x:c r="J39" s="18" t="str">
        <x:v>https://www.shinkin-central-bank.jp/cgi-bin/s/index.cgi</x:v>
      </x:c>
      <x:c r="K39" s="52" t="n">
        <x:v>1174</x:v>
      </x:c>
      <x:c r="L39" s="60" t="n">
        <x:v>221542</x:v>
      </x:c>
      <x:c r="M39" s="60" t="n">
        <x:v>124459</x:v>
      </x:c>
      <x:c r="N39" s="63" t="n">
        <x:f>IFERROR(M39/L39,"")</x:f>
        <x:v>0.5617851242653763</x:v>
      </x:c>
      <x:c r="O39" s="62" t="n">
        <x:v>0.1148</x:v>
      </x:c>
      <x:c r="P39" s="62" t="n">
        <x:v>0.023799999999999998</x:v>
      </x:c>
      <x:c r="Q39" s="52" t="str">
        <x:v>https://www.fsa.go.jp/policy/chusho/shihyou.html</x:v>
      </x:c>
    </x:row>
    <x:row r="40">
      <x:c r="A40" s="18" t="n">
        <x:v>39</x:v>
      </x:c>
      <x:c r="B40" s="18" t="str">
        <x:v>気仙沼信用金庫</x:v>
      </x:c>
      <x:c r="C40" s="18" t="str">
        <x:v>気仙沼</x:v>
      </x:c>
      <x:c r="D40" s="18" t="str">
        <x:v>宮城県</x:v>
      </x:c>
      <x:c r="E40" s="18" t="str">
        <x:v>東北</x:v>
      </x:c>
      <x:c r="F40" s="18" t="str">
        <x:v>2025-03-31</x:v>
      </x:c>
      <x:c r="G40" s="18" t="str">
        <x:v>Basic Data Found</x:v>
      </x:c>
      <x:c r="H40" s="18" t="str"/>
      <x:c r="I40" s="18" t="str">
        <x:v>https://www.shinkin.co.jp/kshinkin/disclosure.php</x:v>
      </x:c>
      <x:c r="J40" s="18" t="str">
        <x:v>https://www.shinkin-central-bank.jp/cgi-bin/s/index.cgi</x:v>
      </x:c>
      <x:c r="K40" s="52" t="n">
        <x:v>1175</x:v>
      </x:c>
      <x:c r="L40" s="60" t="n">
        <x:v>131970</x:v>
      </x:c>
      <x:c r="M40" s="60" t="n">
        <x:v>50383</x:v>
      </x:c>
      <x:c r="N40" s="63" t="n">
        <x:f>IFERROR(M40/L40,"")</x:f>
        <x:v>0.3817761612487687</x:v>
      </x:c>
      <x:c r="O40" s="62" t="n">
        <x:v>0.3207</x:v>
      </x:c>
      <x:c r="P40" s="62" t="n">
        <x:v>0.0647</x:v>
      </x:c>
      <x:c r="Q40" s="52" t="str">
        <x:v>https://www.fsa.go.jp/policy/chusho/shihyou.html</x:v>
      </x:c>
    </x:row>
    <x:row r="41">
      <x:c r="A41" s="18" t="n">
        <x:v>40</x:v>
      </x:c>
      <x:c r="B41" s="18" t="str">
        <x:v>会津信用金庫</x:v>
      </x:c>
      <x:c r="C41" s="18" t="str">
        <x:v>会津</x:v>
      </x:c>
      <x:c r="D41" s="18" t="str">
        <x:v>福島県</x:v>
      </x:c>
      <x:c r="E41" s="18" t="str">
        <x:v>東北</x:v>
      </x:c>
      <x:c r="F41" s="18" t="str">
        <x:v>2025-03-31</x:v>
      </x:c>
      <x:c r="G41" s="18" t="str">
        <x:v>Basic Data Found</x:v>
      </x:c>
      <x:c r="H41" s="18" t="str"/>
      <x:c r="I41" s="18" t="str">
        <x:v>http://www.aizu-shinkin.jp/kinko/aishin001.html</x:v>
      </x:c>
      <x:c r="J41" s="18" t="str">
        <x:v>https://www.shinkin-central-bank.jp/cgi-bin/s/index.cgi</x:v>
      </x:c>
      <x:c r="K41" s="52" t="n">
        <x:v>1181</x:v>
      </x:c>
      <x:c r="L41" s="60" t="n">
        <x:v>216538</x:v>
      </x:c>
      <x:c r="M41" s="60" t="n">
        <x:v>104620</x:v>
      </x:c>
      <x:c r="N41" s="63" t="n">
        <x:f>IFERROR(M41/L41,"")</x:f>
        <x:v>0.48314845431286885</x:v>
      </x:c>
      <x:c r="O41" s="62" t="n">
        <x:v>0.20620000000000002</x:v>
      </x:c>
      <x:c r="P41" s="62" t="n">
        <x:v>0.0141</x:v>
      </x:c>
      <x:c r="Q41" s="52" t="str">
        <x:v>https://www.fsa.go.jp/policy/chusho/shihyou.html</x:v>
      </x:c>
    </x:row>
    <x:row r="42">
      <x:c r="A42" s="18" t="n">
        <x:v>41</x:v>
      </x:c>
      <x:c r="B42" s="18" t="str">
        <x:v>郡山信用金庫</x:v>
      </x:c>
      <x:c r="C42" s="18" t="str">
        <x:v>郡山</x:v>
      </x:c>
      <x:c r="D42" s="18" t="str">
        <x:v>福島県</x:v>
      </x:c>
      <x:c r="E42" s="18" t="str">
        <x:v>東北</x:v>
      </x:c>
      <x:c r="F42" s="18" t="str">
        <x:v>2025-03-31</x:v>
      </x:c>
      <x:c r="G42" s="18" t="str">
        <x:v>Basic Data Found</x:v>
      </x:c>
      <x:c r="H42" s="18" t="str"/>
      <x:c r="I42" s="18" t="str">
        <x:v>https://gunshin.co.jp/publics/index/321/</x:v>
      </x:c>
      <x:c r="J42" s="18" t="str">
        <x:v>https://www.shinkin-central-bank.jp/cgi-bin/s/index.cgi</x:v>
      </x:c>
      <x:c r="K42" s="52" t="n">
        <x:v>1182</x:v>
      </x:c>
      <x:c r="L42" s="60" t="n">
        <x:v>233326</x:v>
      </x:c>
      <x:c r="M42" s="60" t="n">
        <x:v>114024</x:v>
      </x:c>
      <x:c r="N42" s="63" t="n">
        <x:f>IFERROR(M42/L42,"")</x:f>
        <x:v>0.4886896445316853</x:v>
      </x:c>
      <x:c r="O42" s="62" t="n">
        <x:v>0.1655</x:v>
      </x:c>
      <x:c r="P42" s="62" t="n">
        <x:v>0.030899999999999997</x:v>
      </x:c>
      <x:c r="Q42" s="52" t="str">
        <x:v>https://www.fsa.go.jp/policy/chusho/shihyou.html</x:v>
      </x:c>
    </x:row>
    <x:row r="43">
      <x:c r="A43" s="18" t="n">
        <x:v>42</x:v>
      </x:c>
      <x:c r="B43" s="18" t="str">
        <x:v>白河信用金庫</x:v>
      </x:c>
      <x:c r="C43" s="18" t="str">
        <x:v>白河</x:v>
      </x:c>
      <x:c r="D43" s="18" t="str">
        <x:v>福島県</x:v>
      </x:c>
      <x:c r="E43" s="18" t="str">
        <x:v>東北</x:v>
      </x:c>
      <x:c r="F43" s="18" t="str">
        <x:v>2025-03-31</x:v>
      </x:c>
      <x:c r="G43" s="18" t="str">
        <x:v>Basic Data Found</x:v>
      </x:c>
      <x:c r="H43" s="18" t="str"/>
      <x:c r="I43" s="18" t="str">
        <x:v>https://www.shinkin.co.jp/sirakawa/company/index2.html#com6</x:v>
      </x:c>
      <x:c r="J43" s="18" t="str">
        <x:v>https://www.shinkin-central-bank.jp/cgi-bin/s/index.cgi</x:v>
      </x:c>
      <x:c r="K43" s="52" t="n">
        <x:v>1184</x:v>
      </x:c>
      <x:c r="L43" s="60" t="n">
        <x:v>245755</x:v>
      </x:c>
      <x:c r="M43" s="60" t="n">
        <x:v>103460</x:v>
      </x:c>
      <x:c r="N43" s="63" t="n">
        <x:f>IFERROR(M43/L43,"")</x:f>
        <x:v>0.42098838273890665</x:v>
      </x:c>
      <x:c r="O43" s="62" t="n">
        <x:v>0.2004</x:v>
      </x:c>
      <x:c r="P43" s="62" t="n">
        <x:v>0.0216</x:v>
      </x:c>
      <x:c r="Q43" s="52" t="str">
        <x:v>https://www.fsa.go.jp/policy/chusho/shihyou.html</x:v>
      </x:c>
    </x:row>
    <x:row r="44">
      <x:c r="A44" s="18" t="n">
        <x:v>43</x:v>
      </x:c>
      <x:c r="B44" s="18" t="str">
        <x:v>須賀川信用金庫</x:v>
      </x:c>
      <x:c r="C44" s="18" t="str">
        <x:v>須賀川</x:v>
      </x:c>
      <x:c r="D44" s="18" t="str">
        <x:v>福島県</x:v>
      </x:c>
      <x:c r="E44" s="18" t="str">
        <x:v>東北</x:v>
      </x:c>
      <x:c r="F44" s="18" t="str">
        <x:v>2025-03-31</x:v>
      </x:c>
      <x:c r="G44" s="18" t="str">
        <x:v>Basic Data Found</x:v>
      </x:c>
      <x:c r="H44" s="18" t="str"/>
      <x:c r="I44" s="18" t="str">
        <x:v>https://www.sushin.co.jp/about/disclosure.html</x:v>
      </x:c>
      <x:c r="J44" s="18" t="str">
        <x:v>https://www.shinkin-central-bank.jp/cgi-bin/s/index.cgi</x:v>
      </x:c>
      <x:c r="K44" s="52" t="n">
        <x:v>1185</x:v>
      </x:c>
      <x:c r="L44" s="60" t="n">
        <x:v>239464</x:v>
      </x:c>
      <x:c r="M44" s="60" t="n">
        <x:v>110361</x:v>
      </x:c>
      <x:c r="N44" s="63" t="n">
        <x:f>IFERROR(M44/L44,"")</x:f>
        <x:v>0.4608667691176962</x:v>
      </x:c>
      <x:c r="O44" s="62" t="n">
        <x:v>0.126</x:v>
      </x:c>
      <x:c r="P44" s="62" t="n">
        <x:v>0.0255</x:v>
      </x:c>
      <x:c r="Q44" s="52" t="str">
        <x:v>https://www.fsa.go.jp/policy/chusho/shihyou.html</x:v>
      </x:c>
    </x:row>
    <x:row r="45">
      <x:c r="A45" s="18" t="n">
        <x:v>44</x:v>
      </x:c>
      <x:c r="B45" s="18" t="str">
        <x:v>ひまわり信用金庫</x:v>
      </x:c>
      <x:c r="C45" s="18" t="str">
        <x:v>ひまわり</x:v>
      </x:c>
      <x:c r="D45" s="18" t="str">
        <x:v>福島県</x:v>
      </x:c>
      <x:c r="E45" s="18" t="str">
        <x:v>東北</x:v>
      </x:c>
      <x:c r="F45" s="18" t="str">
        <x:v>2025-03-31</x:v>
      </x:c>
      <x:c r="G45" s="18" t="str">
        <x:v>Basic Data Found</x:v>
      </x:c>
      <x:c r="H45" s="18" t="str"/>
      <x:c r="I45" s="18" t="str">
        <x:v>http://www.shinkin.co.jp/himawari/kinko_disclosure.html</x:v>
      </x:c>
      <x:c r="J45" s="18" t="str">
        <x:v>https://www.shinkin-central-bank.jp/cgi-bin/s/index.cgi</x:v>
      </x:c>
      <x:c r="K45" s="52" t="n">
        <x:v>1186</x:v>
      </x:c>
      <x:c r="L45" s="60" t="n">
        <x:v>254454</x:v>
      </x:c>
      <x:c r="M45" s="60" t="n">
        <x:v>94836</x:v>
      </x:c>
      <x:c r="N45" s="63" t="n">
        <x:f>IFERROR(M45/L45,"")</x:f>
        <x:v>0.3727039071895117</x:v>
      </x:c>
      <x:c r="O45" s="62" t="n">
        <x:v>0.1048</x:v>
      </x:c>
      <x:c r="P45" s="62" t="n">
        <x:v>0.0876</x:v>
      </x:c>
      <x:c r="Q45" s="52" t="str">
        <x:v>https://www.fsa.go.jp/policy/chusho/shihyou.html</x:v>
      </x:c>
    </x:row>
    <x:row r="46">
      <x:c r="A46" s="18" t="n">
        <x:v>45</x:v>
      </x:c>
      <x:c r="B46" s="18" t="str">
        <x:v>あぶくま信用金庫</x:v>
      </x:c>
      <x:c r="C46" s="18" t="str">
        <x:v>あぶくま</x:v>
      </x:c>
      <x:c r="D46" s="18" t="str">
        <x:v>福島県</x:v>
      </x:c>
      <x:c r="E46" s="18" t="str">
        <x:v>東北</x:v>
      </x:c>
      <x:c r="F46" s="18" t="str">
        <x:v>2025-03-31</x:v>
      </x:c>
      <x:c r="G46" s="18" t="str">
        <x:v>IRRBB Found</x:v>
      </x:c>
      <x:c r="H46" s="18" t="str"/>
      <x:c r="I46" s="18" t="str">
        <x:v>http://www.abukuma.co.jp/disclo.html</x:v>
      </x:c>
      <x:c r="J46" s="18" t="str">
        <x:v>https://www.shinkin-central-bank.jp/cgi-bin/s/index.cgi</x:v>
      </x:c>
      <x:c r="K46" s="52" t="n">
        <x:v>1188</x:v>
      </x:c>
      <x:c r="L46" s="60" t="n">
        <x:v>312593</x:v>
      </x:c>
      <x:c r="M46" s="60" t="n">
        <x:v>101620</x:v>
      </x:c>
      <x:c r="N46" s="63" t="n">
        <x:f>IFERROR(M46/L46,"")</x:f>
        <x:v>0.3250872540331997</x:v>
      </x:c>
      <x:c r="O46" s="62" t="n">
        <x:v>0.3563</x:v>
      </x:c>
      <x:c r="P46" s="62" t="n">
        <x:v>0.0194</x:v>
      </x:c>
      <x:c r="Q46" s="52" t="str">
        <x:v>https://www.fsa.go.jp/policy/chusho/shihyou.html</x:v>
      </x:c>
    </x:row>
    <x:row r="47">
      <x:c r="A47" s="18" t="n">
        <x:v>46</x:v>
      </x:c>
      <x:c r="B47" s="18" t="str">
        <x:v>二本松信用金庫</x:v>
      </x:c>
      <x:c r="C47" s="18" t="str">
        <x:v>二本松</x:v>
      </x:c>
      <x:c r="D47" s="18" t="str">
        <x:v>福島県</x:v>
      </x:c>
      <x:c r="E47" s="18" t="str">
        <x:v>東北</x:v>
      </x:c>
      <x:c r="F47" s="18" t="str">
        <x:v>2025-03-31</x:v>
      </x:c>
      <x:c r="G47" s="18" t="str">
        <x:v>Basic Data Found</x:v>
      </x:c>
      <x:c r="H47" s="18" t="str"/>
      <x:c r="I47" s="18" t="str">
        <x:v>https://www.matsushin.jp/pages/105/</x:v>
      </x:c>
      <x:c r="J47" s="18" t="str">
        <x:v>https://www.shinkin-central-bank.jp/cgi-bin/s/index.cgi</x:v>
      </x:c>
      <x:c r="K47" s="52" t="n">
        <x:v>1189</x:v>
      </x:c>
      <x:c r="L47" s="60" t="n">
        <x:v>140843</x:v>
      </x:c>
      <x:c r="M47" s="60" t="n">
        <x:v>65044</x:v>
      </x:c>
      <x:c r="N47" s="63" t="n">
        <x:f>IFERROR(M47/L47,"")</x:f>
        <x:v>0.4618191887420745</x:v>
      </x:c>
      <x:c r="O47" s="62" t="n">
        <x:v>0.1419</x:v>
      </x:c>
      <x:c r="P47" s="62" t="n">
        <x:v>0.0562</x:v>
      </x:c>
      <x:c r="Q47" s="52" t="str">
        <x:v>https://www.fsa.go.jp/policy/chusho/shihyou.html</x:v>
      </x:c>
    </x:row>
    <x:row r="48">
      <x:c r="A48" s="18" t="n">
        <x:v>47</x:v>
      </x:c>
      <x:c r="B48" s="18" t="str">
        <x:v>福島信用金庫</x:v>
      </x:c>
      <x:c r="C48" s="18" t="str">
        <x:v>福島</x:v>
      </x:c>
      <x:c r="D48" s="18" t="str">
        <x:v>福島県</x:v>
      </x:c>
      <x:c r="E48" s="18" t="str">
        <x:v>東北</x:v>
      </x:c>
      <x:c r="F48" s="18" t="str">
        <x:v>2025-03-31</x:v>
      </x:c>
      <x:c r="G48" s="18" t="str">
        <x:v>Basic Data Found</x:v>
      </x:c>
      <x:c r="H48" s="18" t="str"/>
      <x:c r="I48" s="18" t="str">
        <x:v>https://www.shinkin.co.jp/fshinkin/about/disclosure.php</x:v>
      </x:c>
      <x:c r="J48" s="18" t="str">
        <x:v>https://www.shinkin-central-bank.jp/cgi-bin/s/index.cgi</x:v>
      </x:c>
      <x:c r="K48" s="52" t="n">
        <x:v>1190</x:v>
      </x:c>
      <x:c r="L48" s="60" t="n">
        <x:v>449512</x:v>
      </x:c>
      <x:c r="M48" s="60" t="n">
        <x:v>192693</x:v>
      </x:c>
      <x:c r="N48" s="63" t="n">
        <x:f>IFERROR(M48/L48,"")</x:f>
        <x:v>0.4286715371336027</x:v>
      </x:c>
      <x:c r="O48" s="62" t="n">
        <x:v>0.1545</x:v>
      </x:c>
      <x:c r="P48" s="62" t="n">
        <x:v>0.0509</x:v>
      </x:c>
      <x:c r="Q48" s="52" t="str">
        <x:v>https://www.fsa.go.jp/policy/chusho/shihyou.html</x:v>
      </x:c>
    </x:row>
    <x:row r="49">
      <x:c r="A49" s="18" t="n">
        <x:v>48</x:v>
      </x:c>
      <x:c r="B49" s="18" t="str">
        <x:v>高崎信用金庫</x:v>
      </x:c>
      <x:c r="C49" s="18" t="str">
        <x:v>高崎</x:v>
      </x:c>
      <x:c r="D49" s="18" t="str">
        <x:v>群馬県</x:v>
      </x:c>
      <x:c r="E49" s="18" t="str">
        <x:v>関東</x:v>
      </x:c>
      <x:c r="F49" s="18" t="str">
        <x:v>2025-03-31</x:v>
      </x:c>
      <x:c r="G49" s="18" t="str">
        <x:v>Basic Data Found</x:v>
      </x:c>
      <x:c r="H49" s="18" t="str"/>
      <x:c r="I49" s="18" t="str">
        <x:v>https://www.shinkin.co.jp/takasaki/about/disclosure/</x:v>
      </x:c>
      <x:c r="J49" s="18" t="str">
        <x:v>https://www.shinkin-central-bank.jp/cgi-bin/s/index.cgi</x:v>
      </x:c>
      <x:c r="K49" s="52" t="n">
        <x:v>1203</x:v>
      </x:c>
      <x:c r="L49" s="60" t="n">
        <x:v>526134</x:v>
      </x:c>
      <x:c r="M49" s="60" t="n">
        <x:v>213803</x:v>
      </x:c>
      <x:c r="N49" s="63" t="n">
        <x:f>IFERROR(M49/L49,"")</x:f>
        <x:v>0.4063660588367222</x:v>
      </x:c>
      <x:c r="O49" s="62" t="n">
        <x:v>0.1142</x:v>
      </x:c>
      <x:c r="P49" s="62" t="n">
        <x:v>0.0435</x:v>
      </x:c>
      <x:c r="Q49" s="52" t="str">
        <x:v>https://www.fsa.go.jp/policy/chusho/shihyou.html</x:v>
      </x:c>
    </x:row>
    <x:row r="50">
      <x:c r="A50" s="18" t="n">
        <x:v>49</x:v>
      </x:c>
      <x:c r="B50" s="18" t="str">
        <x:v>桐生信用金庫</x:v>
      </x:c>
      <x:c r="C50" s="18" t="str">
        <x:v>桐生</x:v>
      </x:c>
      <x:c r="D50" s="18" t="str">
        <x:v>群馬県</x:v>
      </x:c>
      <x:c r="E50" s="18" t="str">
        <x:v>関東</x:v>
      </x:c>
      <x:c r="F50" s="18" t="str">
        <x:v>2025-03-31</x:v>
      </x:c>
      <x:c r="G50" s="18" t="str">
        <x:v>Basic Data Found</x:v>
      </x:c>
      <x:c r="H50" s="18" t="str"/>
      <x:c r="I50" s="18" t="str">
        <x:v>https://www.shinkin.co.jp/kiryu/pr/books/disclosure/disclosure_index.html</x:v>
      </x:c>
      <x:c r="J50" s="18" t="str">
        <x:v>https://www.shinkin-central-bank.jp/cgi-bin/s/index.cgi</x:v>
      </x:c>
      <x:c r="K50" s="52" t="n">
        <x:v>1204</x:v>
      </x:c>
      <x:c r="L50" s="60" t="n">
        <x:v>566571</x:v>
      </x:c>
      <x:c r="M50" s="60" t="n">
        <x:v>314811</x:v>
      </x:c>
      <x:c r="N50" s="63" t="n">
        <x:f>IFERROR(M50/L50,"")</x:f>
        <x:v>0.5556426290791445</x:v>
      </x:c>
      <x:c r="O50" s="62" t="n">
        <x:v>0.1003</x:v>
      </x:c>
      <x:c r="P50" s="62" t="n">
        <x:v>0.0555</x:v>
      </x:c>
      <x:c r="Q50" s="52" t="str">
        <x:v>https://www.fsa.go.jp/policy/chusho/shihyou.html</x:v>
      </x:c>
    </x:row>
    <x:row r="51">
      <x:c r="A51" s="18" t="n">
        <x:v>50</x:v>
      </x:c>
      <x:c r="B51" s="18" t="str">
        <x:v>アイオー信用金庫</x:v>
      </x:c>
      <x:c r="C51" s="18" t="str">
        <x:v>アイオー</x:v>
      </x:c>
      <x:c r="D51" s="18" t="str">
        <x:v>群馬県</x:v>
      </x:c>
      <x:c r="E51" s="18" t="str">
        <x:v>関東</x:v>
      </x:c>
      <x:c r="F51" s="18" t="str">
        <x:v>2025-03-31</x:v>
      </x:c>
      <x:c r="G51" s="18" t="str">
        <x:v>Basic Data Found</x:v>
      </x:c>
      <x:c r="H51" s="18" t="str"/>
      <x:c r="I51" s="18" t="str">
        <x:v>https://www.io-web.jp/about/disclosure.html</x:v>
      </x:c>
      <x:c r="J51" s="18" t="str">
        <x:v>https://www.shinkin-central-bank.jp/cgi-bin/s/index.cgi</x:v>
      </x:c>
      <x:c r="K51" s="52" t="n">
        <x:v>1206</x:v>
      </x:c>
      <x:c r="L51" s="60" t="n">
        <x:v>322386</x:v>
      </x:c>
      <x:c r="M51" s="60" t="n">
        <x:v>169870</x:v>
      </x:c>
      <x:c r="N51" s="63" t="n">
        <x:f>IFERROR(M51/L51,"")</x:f>
        <x:v>0.5269149404750827</x:v>
      </x:c>
      <x:c r="O51" s="62" t="n">
        <x:v>0.11560000000000001</x:v>
      </x:c>
      <x:c r="P51" s="62" t="n">
        <x:v>0.050300000000000004</x:v>
      </x:c>
      <x:c r="Q51" s="52" t="str">
        <x:v>https://www.fsa.go.jp/policy/chusho/shihyou.html</x:v>
      </x:c>
    </x:row>
    <x:row r="52">
      <x:c r="A52" s="18" t="n">
        <x:v>51</x:v>
      </x:c>
      <x:c r="B52" s="18" t="str">
        <x:v>利根郡信用金庫</x:v>
      </x:c>
      <x:c r="C52" s="18" t="str">
        <x:v>利根郡</x:v>
      </x:c>
      <x:c r="D52" s="18" t="str">
        <x:v>群馬県</x:v>
      </x:c>
      <x:c r="E52" s="18" t="str">
        <x:v>関東</x:v>
      </x:c>
      <x:c r="F52" s="18" t="str">
        <x:v>2025-03-31</x:v>
      </x:c>
      <x:c r="G52" s="18" t="str">
        <x:v>Basic Data Found</x:v>
      </x:c>
      <x:c r="H52" s="18" t="str"/>
      <x:c r="I52" s="18" t="str">
        <x:v>https://www.shinkin.co.jp/toneshin/company_profile/disclosure.html</x:v>
      </x:c>
      <x:c r="J52" s="18" t="str">
        <x:v>https://www.shinkin-central-bank.jp/cgi-bin/s/index.cgi</x:v>
      </x:c>
      <x:c r="K52" s="52" t="n">
        <x:v>1208</x:v>
      </x:c>
      <x:c r="L52" s="60" t="n">
        <x:v>184619</x:v>
      </x:c>
      <x:c r="M52" s="60" t="n">
        <x:v>83140</x:v>
      </x:c>
      <x:c r="N52" s="63" t="n">
        <x:f>IFERROR(M52/L52,"")</x:f>
        <x:v>0.4503328476484002</x:v>
      </x:c>
      <x:c r="O52" s="62" t="n">
        <x:v>0.09539999999999998</x:v>
      </x:c>
      <x:c r="P52" s="62" t="n">
        <x:v>0.0623</x:v>
      </x:c>
      <x:c r="Q52" s="52" t="str">
        <x:v>https://www.fsa.go.jp/policy/chusho/shihyou.html</x:v>
      </x:c>
    </x:row>
    <x:row r="53">
      <x:c r="A53" s="18" t="n">
        <x:v>52</x:v>
      </x:c>
      <x:c r="B53" s="18" t="str">
        <x:v>館林信用金庫</x:v>
      </x:c>
      <x:c r="C53" s="18" t="str">
        <x:v>館林</x:v>
      </x:c>
      <x:c r="D53" s="18" t="str">
        <x:v>群馬県</x:v>
      </x:c>
      <x:c r="E53" s="18" t="str">
        <x:v>関東</x:v>
      </x:c>
      <x:c r="F53" s="18" t="str">
        <x:v>2025-03-31</x:v>
      </x:c>
      <x:c r="G53" s="18" t="str">
        <x:v>Basic Data Found</x:v>
      </x:c>
      <x:c r="H53" s="18" t="str"/>
      <x:c r="I53" s="18" t="str">
        <x:v>https://www.shinkin.co.jp/tateshin/company_profile/disclosure.html</x:v>
      </x:c>
      <x:c r="J53" s="18" t="str">
        <x:v>https://www.shinkin-central-bank.jp/cgi-bin/s/index.cgi</x:v>
      </x:c>
      <x:c r="K53" s="52" t="n">
        <x:v>1209</x:v>
      </x:c>
      <x:c r="L53" s="60" t="n">
        <x:v>137207</x:v>
      </x:c>
      <x:c r="M53" s="60" t="n">
        <x:v>64915</x:v>
      </x:c>
      <x:c r="N53" s="63" t="n">
        <x:f>IFERROR(M53/L53,"")</x:f>
        <x:v>0.47311726078115546</x:v>
      </x:c>
      <x:c r="O53" s="62" t="n">
        <x:v>0.1366</x:v>
      </x:c>
      <x:c r="P53" s="62" t="n">
        <x:v>0.042</x:v>
      </x:c>
      <x:c r="Q53" s="52" t="str">
        <x:v>https://www.fsa.go.jp/policy/chusho/shihyou.html</x:v>
      </x:c>
    </x:row>
    <x:row r="54">
      <x:c r="A54" s="18" t="n">
        <x:v>53</x:v>
      </x:c>
      <x:c r="B54" s="18" t="str">
        <x:v>北群馬信用金庫</x:v>
      </x:c>
      <x:c r="C54" s="18" t="str">
        <x:v>北群馬</x:v>
      </x:c>
      <x:c r="D54" s="18" t="str">
        <x:v>群馬県</x:v>
      </x:c>
      <x:c r="E54" s="18" t="str">
        <x:v>関東</x:v>
      </x:c>
      <x:c r="F54" s="18" t="str">
        <x:v>2025-03-31</x:v>
      </x:c>
      <x:c r="G54" s="18" t="str">
        <x:v>Basic Data Found</x:v>
      </x:c>
      <x:c r="H54" s="18" t="str"/>
      <x:c r="I54" s="18" t="str">
        <x:v>https://www.shinkin.co.jp/kitashin1210/aboutus/disclosure/</x:v>
      </x:c>
      <x:c r="J54" s="18" t="str">
        <x:v>https://www.shinkin-central-bank.jp/cgi-bin/s/index.cgi</x:v>
      </x:c>
      <x:c r="K54" s="52" t="n">
        <x:v>1210</x:v>
      </x:c>
      <x:c r="L54" s="60" t="n">
        <x:v>175486</x:v>
      </x:c>
      <x:c r="M54" s="60" t="n">
        <x:v>110526</x:v>
      </x:c>
      <x:c r="N54" s="63" t="n">
        <x:f>IFERROR(M54/L54,"")</x:f>
        <x:v>0.6298280204688693</x:v>
      </x:c>
      <x:c r="O54" s="62" t="n">
        <x:v>0.1206</x:v>
      </x:c>
      <x:c r="P54" s="62" t="n">
        <x:v>0.0182</x:v>
      </x:c>
      <x:c r="Q54" s="52" t="str">
        <x:v>https://www.fsa.go.jp/policy/chusho/shihyou.html</x:v>
      </x:c>
    </x:row>
    <x:row r="55">
      <x:c r="A55" s="18" t="n">
        <x:v>54</x:v>
      </x:c>
      <x:c r="B55" s="18" t="str">
        <x:v>しののめ信用金庫</x:v>
      </x:c>
      <x:c r="C55" s="18" t="str">
        <x:v>しののめ</x:v>
      </x:c>
      <x:c r="D55" s="18" t="str">
        <x:v>群馬県</x:v>
      </x:c>
      <x:c r="E55" s="18" t="str">
        <x:v>関東</x:v>
      </x:c>
      <x:c r="F55" s="18" t="str">
        <x:v>2025-03-31</x:v>
      </x:c>
      <x:c r="G55" s="18" t="str">
        <x:v>Basic Data Found</x:v>
      </x:c>
      <x:c r="H55" s="18" t="str"/>
      <x:c r="I55" s="18" t="str">
        <x:v>https://www.shinonome-shinkin.jp/about/disclosure/index.html</x:v>
      </x:c>
      <x:c r="J55" s="18" t="str">
        <x:v>https://www.shinkin-central-bank.jp/cgi-bin/s/index.cgi</x:v>
      </x:c>
      <x:c r="K55" s="52" t="n">
        <x:v>1211</x:v>
      </x:c>
      <x:c r="L55" s="60" t="n">
        <x:v>1046415</x:v>
      </x:c>
      <x:c r="M55" s="60" t="n">
        <x:v>428288</x:v>
      </x:c>
      <x:c r="N55" s="63" t="n">
        <x:f>IFERROR(M55/L55,"")</x:f>
        <x:v>0.4092907689587783</x:v>
      </x:c>
      <x:c r="O55" s="62" t="n">
        <x:v>0.085</x:v>
      </x:c>
      <x:c r="P55" s="62" t="n">
        <x:v>0.0504</x:v>
      </x:c>
      <x:c r="Q55" s="52" t="str">
        <x:v>https://www.fsa.go.jp/policy/chusho/shihyou.html</x:v>
      </x:c>
    </x:row>
    <x:row r="56">
      <x:c r="A56" s="18" t="n">
        <x:v>55</x:v>
      </x:c>
      <x:c r="B56" s="18" t="str">
        <x:v>足利小山信用金庫</x:v>
      </x:c>
      <x:c r="C56" s="18" t="str">
        <x:v>足利小山</x:v>
      </x:c>
      <x:c r="D56" s="18" t="str">
        <x:v>栃木県</x:v>
      </x:c>
      <x:c r="E56" s="18" t="str">
        <x:v>関東</x:v>
      </x:c>
      <x:c r="F56" s="18" t="str">
        <x:v>2025-03-31</x:v>
      </x:c>
      <x:c r="G56" s="18" t="str">
        <x:v>Basic Data Found</x:v>
      </x:c>
      <x:c r="H56" s="18" t="str"/>
      <x:c r="I56" s="18" t="str">
        <x:v>https://www.ashikagaoyamashinkin.co.jp/company/disclosure.html</x:v>
      </x:c>
      <x:c r="J56" s="18" t="str">
        <x:v>https://www.shinkin-central-bank.jp/cgi-bin/s/index.cgi</x:v>
      </x:c>
      <x:c r="K56" s="52" t="n">
        <x:v>1221</x:v>
      </x:c>
      <x:c r="L56" s="60" t="n">
        <x:v>326191</x:v>
      </x:c>
      <x:c r="M56" s="60" t="n">
        <x:v>147077</x:v>
      </x:c>
      <x:c r="N56" s="63" t="n">
        <x:f>IFERROR(M56/L56,"")</x:f>
        <x:v>0.4508922686401525</x:v>
      </x:c>
      <x:c r="O56" s="62" t="n">
        <x:v>0.1082</x:v>
      </x:c>
      <x:c r="P56" s="62" t="n">
        <x:v>0.0478</x:v>
      </x:c>
      <x:c r="Q56" s="52" t="str">
        <x:v>https://www.fsa.go.jp/policy/chusho/shihyou.html</x:v>
      </x:c>
    </x:row>
    <x:row r="57">
      <x:c r="A57" s="18" t="n">
        <x:v>56</x:v>
      </x:c>
      <x:c r="B57" s="18" t="str">
        <x:v>栃木信用金庫</x:v>
      </x:c>
      <x:c r="C57" s="18" t="str">
        <x:v>栃木</x:v>
      </x:c>
      <x:c r="D57" s="18" t="str">
        <x:v>栃木県</x:v>
      </x:c>
      <x:c r="E57" s="18" t="str">
        <x:v>関東</x:v>
      </x:c>
      <x:c r="F57" s="18" t="str">
        <x:v>2025-03-31</x:v>
      </x:c>
      <x:c r="G57" s="18" t="str">
        <x:v>Basic Data Found</x:v>
      </x:c>
      <x:c r="H57" s="18" t="str"/>
      <x:c r="I57" s="18" t="str">
        <x:v>https://www.shinkin.co.jp/tochigi/profile/disclosure/disclosure.html</x:v>
      </x:c>
      <x:c r="J57" s="18" t="str">
        <x:v>https://www.shinkin-central-bank.jp/cgi-bin/s/index.cgi</x:v>
      </x:c>
      <x:c r="K57" s="52" t="n">
        <x:v>1222</x:v>
      </x:c>
      <x:c r="L57" s="60" t="n">
        <x:v>277604</x:v>
      </x:c>
      <x:c r="M57" s="60" t="n">
        <x:v>136581</x:v>
      </x:c>
      <x:c r="N57" s="63" t="n">
        <x:f>IFERROR(M57/L57,"")</x:f>
        <x:v>0.49199939482140026</x:v>
      </x:c>
      <x:c r="O57" s="62" t="n">
        <x:v>0.0587</x:v>
      </x:c>
      <x:c r="P57" s="62" t="n">
        <x:v>0.023399999999999997</x:v>
      </x:c>
      <x:c r="Q57" s="52" t="str">
        <x:v>https://www.fsa.go.jp/policy/chusho/shihyou.html</x:v>
      </x:c>
    </x:row>
    <x:row r="58">
      <x:c r="A58" s="18" t="n">
        <x:v>57</x:v>
      </x:c>
      <x:c r="B58" s="18" t="str">
        <x:v>鹿沼相互信用金庫</x:v>
      </x:c>
      <x:c r="C58" s="18" t="str">
        <x:v>鹿沼相互</x:v>
      </x:c>
      <x:c r="D58" s="18" t="str">
        <x:v>栃木県</x:v>
      </x:c>
      <x:c r="E58" s="18" t="str">
        <x:v>関東</x:v>
      </x:c>
      <x:c r="F58" s="18" t="str">
        <x:v>2025-03-31</x:v>
      </x:c>
      <x:c r="G58" s="18" t="str">
        <x:v>Basic Data Found</x:v>
      </x:c>
      <x:c r="H58" s="18" t="str"/>
      <x:c r="I58" s="18" t="str">
        <x:v>https://www.shinkin.co.jp/kanuma/about/disclosure.php</x:v>
      </x:c>
      <x:c r="J58" s="18" t="str">
        <x:v>https://www.shinkin-central-bank.jp/cgi-bin/s/index.cgi</x:v>
      </x:c>
      <x:c r="K58" s="52" t="n">
        <x:v>1223</x:v>
      </x:c>
      <x:c r="L58" s="60" t="n">
        <x:v>225996</x:v>
      </x:c>
      <x:c r="M58" s="60" t="n">
        <x:v>106689</x:v>
      </x:c>
      <x:c r="N58" s="63" t="n">
        <x:f>IFERROR(M58/L58,"")</x:f>
        <x:v>0.4720835767004726</x:v>
      </x:c>
      <x:c r="O58" s="62" t="n">
        <x:v>0.0944</x:v>
      </x:c>
      <x:c r="P58" s="62" t="n">
        <x:v>0.023399999999999997</x:v>
      </x:c>
      <x:c r="Q58" s="52" t="str">
        <x:v>https://www.fsa.go.jp/policy/chusho/shihyou.html</x:v>
      </x:c>
    </x:row>
    <x:row r="59">
      <x:c r="A59" s="18" t="n">
        <x:v>58</x:v>
      </x:c>
      <x:c r="B59" s="18" t="str">
        <x:v>佐野信用金庫</x:v>
      </x:c>
      <x:c r="C59" s="18" t="str">
        <x:v>佐野</x:v>
      </x:c>
      <x:c r="D59" s="18" t="str">
        <x:v>栃木県</x:v>
      </x:c>
      <x:c r="E59" s="18" t="str">
        <x:v>関東</x:v>
      </x:c>
      <x:c r="F59" s="18" t="str">
        <x:v>2025-03-31</x:v>
      </x:c>
      <x:c r="G59" s="18" t="str">
        <x:v>Basic Data Found</x:v>
      </x:c>
      <x:c r="H59" s="18" t="str"/>
      <x:c r="I59" s="18" t="str">
        <x:v>https://www.sanoshin.co.jp/cpr/disclosure/</x:v>
      </x:c>
      <x:c r="J59" s="18" t="str">
        <x:v>https://www.shinkin-central-bank.jp/cgi-bin/s/index.cgi</x:v>
      </x:c>
      <x:c r="K59" s="52" t="n">
        <x:v>1224</x:v>
      </x:c>
      <x:c r="L59" s="60" t="n">
        <x:v>122846</x:v>
      </x:c>
      <x:c r="M59" s="60" t="n">
        <x:v>55645</x:v>
      </x:c>
      <x:c r="N59" s="63" t="n">
        <x:f>IFERROR(M59/L59,"")</x:f>
        <x:v>0.4529655015222311</x:v>
      </x:c>
      <x:c r="O59" s="62" t="n">
        <x:v>0.1073</x:v>
      </x:c>
      <x:c r="P59" s="62" t="n">
        <x:v>0.0179</x:v>
      </x:c>
      <x:c r="Q59" s="52" t="str">
        <x:v>https://www.fsa.go.jp/policy/chusho/shihyou.html</x:v>
      </x:c>
    </x:row>
    <x:row r="60">
      <x:c r="A60" s="18" t="n">
        <x:v>59</x:v>
      </x:c>
      <x:c r="B60" s="18" t="str">
        <x:v>大田原信用金庫</x:v>
      </x:c>
      <x:c r="C60" s="18" t="str">
        <x:v>大田原</x:v>
      </x:c>
      <x:c r="D60" s="18" t="str">
        <x:v>栃木県</x:v>
      </x:c>
      <x:c r="E60" s="18" t="str">
        <x:v>関東</x:v>
      </x:c>
      <x:c r="F60" s="18" t="str">
        <x:v>2025-03-31</x:v>
      </x:c>
      <x:c r="G60" s="18" t="str">
        <x:v>Basic Data Found</x:v>
      </x:c>
      <x:c r="H60" s="18" t="str"/>
      <x:c r="I60" s="18" t="str">
        <x:v>https://www.ohtawara-shinkin.co.jp/company/disclosure.html</x:v>
      </x:c>
      <x:c r="J60" s="18" t="str">
        <x:v>https://www.shinkin-central-bank.jp/cgi-bin/s/index.cgi</x:v>
      </x:c>
      <x:c r="K60" s="52" t="n">
        <x:v>1225</x:v>
      </x:c>
      <x:c r="L60" s="60" t="n">
        <x:v>133662</x:v>
      </x:c>
      <x:c r="M60" s="60" t="n">
        <x:v>83580</x:v>
      </x:c>
      <x:c r="N60" s="63" t="n">
        <x:f>IFERROR(M60/L60,"")</x:f>
        <x:v>0.6253086142658347</x:v>
      </x:c>
      <x:c r="O60" s="62" t="n">
        <x:v>0.13419999999999999</x:v>
      </x:c>
      <x:c r="P60" s="62" t="n">
        <x:v>0.048499999999999995</x:v>
      </x:c>
      <x:c r="Q60" s="52" t="str">
        <x:v>https://www.fsa.go.jp/policy/chusho/shihyou.html</x:v>
      </x:c>
    </x:row>
    <x:row r="61">
      <x:c r="A61" s="18" t="n">
        <x:v>60</x:v>
      </x:c>
      <x:c r="B61" s="18" t="str">
        <x:v>烏山信用金庫</x:v>
      </x:c>
      <x:c r="C61" s="18" t="str">
        <x:v>烏山</x:v>
      </x:c>
      <x:c r="D61" s="18" t="str">
        <x:v>栃木県</x:v>
      </x:c>
      <x:c r="E61" s="18" t="str">
        <x:v>関東</x:v>
      </x:c>
      <x:c r="F61" s="18" t="str">
        <x:v>2025-03-31</x:v>
      </x:c>
      <x:c r="G61" s="18" t="str">
        <x:v>Basic Data Found</x:v>
      </x:c>
      <x:c r="H61" s="18" t="str"/>
      <x:c r="I61" s="18" t="str">
        <x:v>https://www.karashin-bank.co.jp/about/disc.html</x:v>
      </x:c>
      <x:c r="J61" s="18" t="str">
        <x:v>https://www.shinkin-central-bank.jp/cgi-bin/s/index.cgi</x:v>
      </x:c>
      <x:c r="K61" s="52" t="n">
        <x:v>1227</x:v>
      </x:c>
      <x:c r="L61" s="60" t="n">
        <x:v>193383</x:v>
      </x:c>
      <x:c r="M61" s="60" t="n">
        <x:v>78030</x:v>
      </x:c>
      <x:c r="N61" s="63" t="n">
        <x:f>IFERROR(M61/L61,"")</x:f>
        <x:v>0.40349979057104296</x:v>
      </x:c>
      <x:c r="O61" s="62" t="n">
        <x:v>0.1186</x:v>
      </x:c>
      <x:c r="P61" s="62" t="n">
        <x:v>0.0401</x:v>
      </x:c>
      <x:c r="Q61" s="52" t="str">
        <x:v>https://www.fsa.go.jp/policy/chusho/shihyou.html</x:v>
      </x:c>
    </x:row>
    <x:row r="62">
      <x:c r="A62" s="18" t="n">
        <x:v>61</x:v>
      </x:c>
      <x:c r="B62" s="18" t="str">
        <x:v>水戸信用金庫</x:v>
      </x:c>
      <x:c r="C62" s="18" t="str">
        <x:v>水戸</x:v>
      </x:c>
      <x:c r="D62" s="18" t="str">
        <x:v>茨城県</x:v>
      </x:c>
      <x:c r="E62" s="18" t="str">
        <x:v>関東</x:v>
      </x:c>
      <x:c r="F62" s="18" t="str">
        <x:v>2025-03-31</x:v>
      </x:c>
      <x:c r="G62" s="18" t="str">
        <x:v>Basic Data Found</x:v>
      </x:c>
      <x:c r="H62" s="18" t="str"/>
      <x:c r="I62" s="18" t="str">
        <x:v>https://www.mitoshin.co.jp/about/disclosure/disclosure/</x:v>
      </x:c>
      <x:c r="J62" s="18" t="str">
        <x:v>https://www.shinkin-central-bank.jp/cgi-bin/s/index.cgi</x:v>
      </x:c>
      <x:c r="K62" s="52" t="n">
        <x:v>1240</x:v>
      </x:c>
      <x:c r="L62" s="60" t="n">
        <x:v>1146073</x:v>
      </x:c>
      <x:c r="M62" s="60" t="n">
        <x:v>486314</x:v>
      </x:c>
      <x:c r="N62" s="63" t="n">
        <x:f>IFERROR(M62/L62,"")</x:f>
        <x:v>0.4243307363492552</x:v>
      </x:c>
      <x:c r="O62" s="62" t="n">
        <x:v>0.09449999999999999</x:v>
      </x:c>
      <x:c r="P62" s="62" t="n">
        <x:v>0.050499999999999996</x:v>
      </x:c>
      <x:c r="Q62" s="52" t="str">
        <x:v>https://www.fsa.go.jp/policy/chusho/shihyou.html</x:v>
      </x:c>
    </x:row>
    <x:row r="63">
      <x:c r="A63" s="18" t="n">
        <x:v>62</x:v>
      </x:c>
      <x:c r="B63" s="18" t="str">
        <x:v>結城信用金庫</x:v>
      </x:c>
      <x:c r="C63" s="18" t="str">
        <x:v>結城</x:v>
      </x:c>
      <x:c r="D63" s="18" t="str">
        <x:v>茨城県</x:v>
      </x:c>
      <x:c r="E63" s="18" t="str">
        <x:v>関東</x:v>
      </x:c>
      <x:c r="F63" s="18" t="str">
        <x:v>2025-03-31</x:v>
      </x:c>
      <x:c r="G63" s="18" t="str">
        <x:v>IRRBB Found</x:v>
      </x:c>
      <x:c r="H63" s="18" t="str"/>
      <x:c r="I63" s="18" t="str">
        <x:v>https://www.shinkin.co.jp/yuki/disclosure/index.html</x:v>
      </x:c>
      <x:c r="J63" s="18" t="str">
        <x:v>https://www.shinkin-central-bank.jp/cgi-bin/s/index.cgi</x:v>
      </x:c>
      <x:c r="K63" s="52" t="n">
        <x:v>1242</x:v>
      </x:c>
      <x:c r="L63" s="60" t="n">
        <x:v>408988</x:v>
      </x:c>
      <x:c r="M63" s="60" t="n">
        <x:v>136823</x:v>
      </x:c>
      <x:c r="N63" s="63" t="n">
        <x:f>IFERROR(M63/L63,"")</x:f>
        <x:v>0.33454037771279355</x:v>
      </x:c>
      <x:c r="O63" s="62" t="n">
        <x:v>0.1414</x:v>
      </x:c>
      <x:c r="P63" s="62" t="n">
        <x:v>0.0332</x:v>
      </x:c>
      <x:c r="Q63" s="52" t="str">
        <x:v>https://www.fsa.go.jp/policy/chusho/shihyou.html</x:v>
      </x:c>
    </x:row>
    <x:row r="64">
      <x:c r="A64" s="18" t="n">
        <x:v>63</x:v>
      </x:c>
      <x:c r="B64" s="18" t="str">
        <x:v>埼玉縣信用金庫</x:v>
      </x:c>
      <x:c r="C64" s="18" t="str">
        <x:v>埼玉縣</x:v>
      </x:c>
      <x:c r="D64" s="18" t="str">
        <x:v>埼玉県</x:v>
      </x:c>
      <x:c r="E64" s="18" t="str">
        <x:v>関東</x:v>
      </x:c>
      <x:c r="F64" s="18" t="str">
        <x:v>2025-03-31</x:v>
      </x:c>
      <x:c r="G64" s="18" t="str">
        <x:v>Basic Data Found</x:v>
      </x:c>
      <x:c r="H64" s="18" t="str"/>
      <x:c r="I64" s="18" t="str">
        <x:v>https://www.saishin.co.jp/saishin/disclosure/</x:v>
      </x:c>
      <x:c r="J64" s="18" t="str">
        <x:v>https://www.shinkin-central-bank.jp/cgi-bin/s/index.cgi</x:v>
      </x:c>
      <x:c r="K64" s="52" t="n">
        <x:v>1250</x:v>
      </x:c>
      <x:c r="L64" s="60" t="n">
        <x:v>3226191</x:v>
      </x:c>
      <x:c r="M64" s="60" t="n">
        <x:v>1917842</x:v>
      </x:c>
      <x:c r="N64" s="63" t="n">
        <x:f>IFERROR(M64/L64,"")</x:f>
        <x:v>0.5944601544049933</x:v>
      </x:c>
      <x:c r="O64" s="62" t="n">
        <x:v>0.0907</x:v>
      </x:c>
      <x:c r="P64" s="62" t="n">
        <x:v>0.015700000000000002</x:v>
      </x:c>
      <x:c r="Q64" s="52" t="str">
        <x:v>https://www.fsa.go.jp/policy/chusho/shihyou.html</x:v>
      </x:c>
    </x:row>
    <x:row r="65">
      <x:c r="A65" s="18" t="n">
        <x:v>64</x:v>
      </x:c>
      <x:c r="B65" s="18" t="str">
        <x:v>川口信用金庫</x:v>
      </x:c>
      <x:c r="C65" s="18" t="str">
        <x:v>川口</x:v>
      </x:c>
      <x:c r="D65" s="18" t="str">
        <x:v>埼玉県</x:v>
      </x:c>
      <x:c r="E65" s="18" t="str">
        <x:v>関東</x:v>
      </x:c>
      <x:c r="F65" s="18" t="str">
        <x:v>2025-03-31</x:v>
      </x:c>
      <x:c r="G65" s="18" t="str">
        <x:v>Basic Data Found</x:v>
      </x:c>
      <x:c r="H65" s="18" t="str"/>
      <x:c r="I65" s="18" t="str">
        <x:v>https://www.shinkin.co.jp/ksb/about/disclosure/</x:v>
      </x:c>
      <x:c r="J65" s="18" t="str">
        <x:v>https://www.shinkin-central-bank.jp/cgi-bin/s/index.cgi</x:v>
      </x:c>
      <x:c r="K65" s="52" t="n">
        <x:v>1251</x:v>
      </x:c>
      <x:c r="L65" s="60" t="n">
        <x:v>998507</x:v>
      </x:c>
      <x:c r="M65" s="60" t="n">
        <x:v>563612</x:v>
      </x:c>
      <x:c r="N65" s="63" t="n">
        <x:f>IFERROR(M65/L65,"")</x:f>
        <x:v>0.5644547309132535</x:v>
      </x:c>
      <x:c r="O65" s="62" t="n">
        <x:v>0.1183</x:v>
      </x:c>
      <x:c r="P65" s="62" t="n">
        <x:v>0.0197</x:v>
      </x:c>
      <x:c r="Q65" s="52" t="str">
        <x:v>https://www.fsa.go.jp/policy/chusho/shihyou.html</x:v>
      </x:c>
    </x:row>
    <x:row r="66">
      <x:c r="A66" s="18" t="n">
        <x:v>65</x:v>
      </x:c>
      <x:c r="B66" s="18" t="str">
        <x:v>青木信用金庫</x:v>
      </x:c>
      <x:c r="C66" s="18" t="str">
        <x:v>青木</x:v>
      </x:c>
      <x:c r="D66" s="18" t="str">
        <x:v>埼玉県</x:v>
      </x:c>
      <x:c r="E66" s="18" t="str">
        <x:v>関東</x:v>
      </x:c>
      <x:c r="F66" s="18" t="str">
        <x:v>2025-03-31</x:v>
      </x:c>
      <x:c r="G66" s="18" t="str">
        <x:v>Basic Data Found</x:v>
      </x:c>
      <x:c r="H66" s="18" t="str"/>
      <x:c r="I66" s="18" t="str">
        <x:v>https://www.shinkin.co.jp/aoshin/about/disclosure.html</x:v>
      </x:c>
      <x:c r="J66" s="18" t="str">
        <x:v>https://www.shinkin-central-bank.jp/cgi-bin/s/index.cgi</x:v>
      </x:c>
      <x:c r="K66" s="52" t="n">
        <x:v>1252</x:v>
      </x:c>
      <x:c r="L66" s="60" t="n">
        <x:v>794903</x:v>
      </x:c>
      <x:c r="M66" s="60" t="n">
        <x:v>417718</x:v>
      </x:c>
      <x:c r="N66" s="63" t="n">
        <x:f>IFERROR(M66/L66,"")</x:f>
        <x:v>0.525495563609648</x:v>
      </x:c>
      <x:c r="O66" s="62" t="n">
        <x:v>0.0989</x:v>
      </x:c>
      <x:c r="P66" s="62" t="n">
        <x:v>0.0362</x:v>
      </x:c>
      <x:c r="Q66" s="52" t="str">
        <x:v>https://www.fsa.go.jp/policy/chusho/shihyou.html</x:v>
      </x:c>
    </x:row>
    <x:row r="67">
      <x:c r="A67" s="18" t="n">
        <x:v>66</x:v>
      </x:c>
      <x:c r="B67" s="18" t="str">
        <x:v>飯能信用金庫</x:v>
      </x:c>
      <x:c r="C67" s="18" t="str">
        <x:v>飯能</x:v>
      </x:c>
      <x:c r="D67" s="18" t="str">
        <x:v>埼玉県</x:v>
      </x:c>
      <x:c r="E67" s="18" t="str">
        <x:v>関東</x:v>
      </x:c>
      <x:c r="F67" s="18" t="str">
        <x:v>2025-03-31</x:v>
      </x:c>
      <x:c r="G67" s="18" t="str">
        <x:v>Basic Data Found</x:v>
      </x:c>
      <x:c r="H67" s="18" t="str"/>
      <x:c r="I67" s="18" t="str">
        <x:v>https://www.shinkin.co.jp/hanno/bank_information/disclosure/</x:v>
      </x:c>
      <x:c r="J67" s="18" t="str">
        <x:v>https://www.shinkin-central-bank.jp/cgi-bin/s/index.cgi</x:v>
      </x:c>
      <x:c r="K67" s="52" t="n">
        <x:v>1253</x:v>
      </x:c>
      <x:c r="L67" s="60" t="n">
        <x:v>1417109</x:v>
      </x:c>
      <x:c r="M67" s="60" t="n">
        <x:v>688984</x:v>
      </x:c>
      <x:c r="N67" s="63" t="n">
        <x:f>IFERROR(M67/L67,"")</x:f>
        <x:v>0.4861898414306874</x:v>
      </x:c>
      <x:c r="O67" s="62" t="n">
        <x:v>0.1502</x:v>
      </x:c>
      <x:c r="P67" s="62" t="n">
        <x:v>0.0325</x:v>
      </x:c>
      <x:c r="Q67" s="52" t="str">
        <x:v>https://www.fsa.go.jp/policy/chusho/shihyou.html</x:v>
      </x:c>
    </x:row>
    <x:row r="68">
      <x:c r="A68" s="18" t="n">
        <x:v>67</x:v>
      </x:c>
      <x:c r="B68" s="18" t="str">
        <x:v>千葉信用金庫</x:v>
      </x:c>
      <x:c r="C68" s="18" t="str">
        <x:v>千葉</x:v>
      </x:c>
      <x:c r="D68" s="18" t="str">
        <x:v>千葉県</x:v>
      </x:c>
      <x:c r="E68" s="18" t="str">
        <x:v>関東</x:v>
      </x:c>
      <x:c r="F68" s="18" t="str">
        <x:v>2025-03-31</x:v>
      </x:c>
      <x:c r="G68" s="18" t="str">
        <x:v>Basic Data Found</x:v>
      </x:c>
      <x:c r="H68" s="18" t="str"/>
      <x:c r="I68" s="18" t="str">
        <x:v>https://www.shinkin.co.jp/chibaskb/company/disclosure/index.html</x:v>
      </x:c>
      <x:c r="J68" s="18" t="str">
        <x:v>https://www.shinkin-central-bank.jp/cgi-bin/s/index.cgi</x:v>
      </x:c>
      <x:c r="K68" s="52" t="n">
        <x:v>1260</x:v>
      </x:c>
      <x:c r="L68" s="60" t="n">
        <x:v>1132277</x:v>
      </x:c>
      <x:c r="M68" s="60" t="n">
        <x:v>611616</x:v>
      </x:c>
      <x:c r="N68" s="63" t="n">
        <x:f>IFERROR(M68/L68,"")</x:f>
        <x:v>0.540164641691035</x:v>
      </x:c>
      <x:c r="O68" s="62" t="n">
        <x:v>0.0793</x:v>
      </x:c>
      <x:c r="P68" s="62" t="n">
        <x:v>0.028999999999999998</x:v>
      </x:c>
      <x:c r="Q68" s="52" t="str">
        <x:v>https://www.fsa.go.jp/policy/chusho/shihyou.html</x:v>
      </x:c>
    </x:row>
    <x:row r="69">
      <x:c r="A69" s="18" t="n">
        <x:v>68</x:v>
      </x:c>
      <x:c r="B69" s="18" t="str">
        <x:v>銚子信用金庫</x:v>
      </x:c>
      <x:c r="C69" s="18" t="str">
        <x:v>銚子</x:v>
      </x:c>
      <x:c r="D69" s="18" t="str">
        <x:v>千葉県</x:v>
      </x:c>
      <x:c r="E69" s="18" t="str">
        <x:v>関東</x:v>
      </x:c>
      <x:c r="F69" s="18" t="str">
        <x:v>2025-03-31</x:v>
      </x:c>
      <x:c r="G69" s="18" t="str">
        <x:v>IRRBB Found</x:v>
      </x:c>
      <x:c r="H69" s="18" t="str"/>
      <x:c r="I69" s="18" t="str">
        <x:v>https://www.choshi-shinkin.co.jp/kigyo/disclosure/index.html</x:v>
      </x:c>
      <x:c r="J69" s="18" t="str">
        <x:v>https://www.shinkin-central-bank.jp/cgi-bin/s/index.cgi</x:v>
      </x:c>
      <x:c r="K69" s="52" t="n">
        <x:v>1261</x:v>
      </x:c>
      <x:c r="L69" s="60" t="n">
        <x:v>517536</x:v>
      </x:c>
      <x:c r="M69" s="60" t="n">
        <x:v>167281</x:v>
      </x:c>
      <x:c r="N69" s="63" t="n">
        <x:f>IFERROR(M69/L69,"")</x:f>
        <x:v>0.3232258239040376</x:v>
      </x:c>
      <x:c r="O69" s="62" t="n">
        <x:v>0.1257</x:v>
      </x:c>
      <x:c r="P69" s="62" t="n">
        <x:v>0.058899999999999994</x:v>
      </x:c>
      <x:c r="Q69" s="52" t="str">
        <x:v>https://www.fsa.go.jp/policy/chusho/shihyou.html</x:v>
      </x:c>
    </x:row>
    <x:row r="70">
      <x:c r="A70" s="18" t="n">
        <x:v>69</x:v>
      </x:c>
      <x:c r="B70" s="18" t="str">
        <x:v>東京ベイ信用金庫</x:v>
      </x:c>
      <x:c r="C70" s="18" t="str">
        <x:v>東京ベイ</x:v>
      </x:c>
      <x:c r="D70" s="18" t="str">
        <x:v>千葉県</x:v>
      </x:c>
      <x:c r="E70" s="18" t="str">
        <x:v>関東</x:v>
      </x:c>
      <x:c r="F70" s="18" t="str">
        <x:v>2025-03-31</x:v>
      </x:c>
      <x:c r="G70" s="18" t="str">
        <x:v>Basic Data Found</x:v>
      </x:c>
      <x:c r="H70" s="18" t="str"/>
      <x:c r="I70" s="18" t="str">
        <x:v>http://www.bayshin.co.jp/about/disclosure.shtml</x:v>
      </x:c>
      <x:c r="J70" s="18" t="str">
        <x:v>https://www.shinkin-central-bank.jp/cgi-bin/s/index.cgi</x:v>
      </x:c>
      <x:c r="K70" s="52" t="n">
        <x:v>1262</x:v>
      </x:c>
      <x:c r="L70" s="60" t="n">
        <x:v>584459</x:v>
      </x:c>
      <x:c r="M70" s="60" t="n">
        <x:v>366041</x:v>
      </x:c>
      <x:c r="N70" s="63" t="n">
        <x:f>IFERROR(M70/L70,"")</x:f>
        <x:v>0.6262902958120244</x:v>
      </x:c>
      <x:c r="O70" s="62" t="n">
        <x:v>0.1165</x:v>
      </x:c>
      <x:c r="P70" s="62" t="n">
        <x:v>0.0286</x:v>
      </x:c>
      <x:c r="Q70" s="52" t="str">
        <x:v>https://www.fsa.go.jp/policy/chusho/shihyou.html</x:v>
      </x:c>
    </x:row>
    <x:row r="71">
      <x:c r="A71" s="18" t="n">
        <x:v>70</x:v>
      </x:c>
      <x:c r="B71" s="18" t="str">
        <x:v>館山信用金庫</x:v>
      </x:c>
      <x:c r="C71" s="18" t="str">
        <x:v>館山</x:v>
      </x:c>
      <x:c r="D71" s="18" t="str">
        <x:v>千葉県</x:v>
      </x:c>
      <x:c r="E71" s="18" t="str">
        <x:v>関東</x:v>
      </x:c>
      <x:c r="F71" s="18" t="str">
        <x:v>2025-03-31</x:v>
      </x:c>
      <x:c r="G71" s="18" t="str">
        <x:v>Basic Data Found</x:v>
      </x:c>
      <x:c r="H71" s="18" t="str"/>
      <x:c r="I71" s="18" t="str">
        <x:v>http://www.shinkin.co.jp/tateyama/disclose.html</x:v>
      </x:c>
      <x:c r="J71" s="18" t="str">
        <x:v>https://www.shinkin-central-bank.jp/cgi-bin/s/index.cgi</x:v>
      </x:c>
      <x:c r="K71" s="52" t="n">
        <x:v>1264</x:v>
      </x:c>
      <x:c r="L71" s="60" t="n">
        <x:v>154937</x:v>
      </x:c>
      <x:c r="M71" s="60" t="n">
        <x:v>91272</x:v>
      </x:c>
      <x:c r="N71" s="63" t="n">
        <x:f>IFERROR(M71/L71,"")</x:f>
        <x:v>0.5890910499106088</x:v>
      </x:c>
      <x:c r="O71" s="62" t="n">
        <x:v>0.1659</x:v>
      </x:c>
      <x:c r="P71" s="62" t="n">
        <x:v>0.046</x:v>
      </x:c>
      <x:c r="Q71" s="52" t="str">
        <x:v>https://www.fsa.go.jp/policy/chusho/shihyou.html</x:v>
      </x:c>
    </x:row>
    <x:row r="72">
      <x:c r="A72" s="18" t="n">
        <x:v>71</x:v>
      </x:c>
      <x:c r="B72" s="18" t="str">
        <x:v>佐原信用金庫</x:v>
      </x:c>
      <x:c r="C72" s="18" t="str">
        <x:v>佐原</x:v>
      </x:c>
      <x:c r="D72" s="18" t="str">
        <x:v>千葉県</x:v>
      </x:c>
      <x:c r="E72" s="18" t="str">
        <x:v>関東</x:v>
      </x:c>
      <x:c r="F72" s="18" t="str">
        <x:v>2025-03-31</x:v>
      </x:c>
      <x:c r="G72" s="18" t="str">
        <x:v>Basic Data Found</x:v>
      </x:c>
      <x:c r="H72" s="18" t="str"/>
      <x:c r="I72" s="18" t="str">
        <x:v>https://www.shinkin.co.jp/sawara/about/disclosure.html</x:v>
      </x:c>
      <x:c r="J72" s="18" t="str">
        <x:v>https://www.shinkin-central-bank.jp/cgi-bin/s/index.cgi</x:v>
      </x:c>
      <x:c r="K72" s="52" t="n">
        <x:v>1267</x:v>
      </x:c>
      <x:c r="L72" s="60" t="n">
        <x:v>236000</x:v>
      </x:c>
      <x:c r="M72" s="60" t="n">
        <x:v>101557</x:v>
      </x:c>
      <x:c r="N72" s="63" t="n">
        <x:f>IFERROR(M72/L72,"")</x:f>
        <x:v>0.4303262711864407</x:v>
      </x:c>
      <x:c r="O72" s="62" t="n">
        <x:v>0.1208</x:v>
      </x:c>
      <x:c r="P72" s="62" t="n">
        <x:v>0.030899999999999997</x:v>
      </x:c>
      <x:c r="Q72" s="52" t="str">
        <x:v>https://www.fsa.go.jp/policy/chusho/shihyou.html</x:v>
      </x:c>
    </x:row>
    <x:row r="73">
      <x:c r="A73" s="18" t="n">
        <x:v>72</x:v>
      </x:c>
      <x:c r="B73" s="18" t="str">
        <x:v>横浜信用金庫</x:v>
      </x:c>
      <x:c r="C73" s="18" t="str">
        <x:v>横浜</x:v>
      </x:c>
      <x:c r="D73" s="18" t="str">
        <x:v>神奈川県</x:v>
      </x:c>
      <x:c r="E73" s="18" t="str">
        <x:v>関東</x:v>
      </x:c>
      <x:c r="F73" s="18" t="str">
        <x:v>2025-03-31</x:v>
      </x:c>
      <x:c r="G73" s="18" t="str">
        <x:v>Basic Data Found</x:v>
      </x:c>
      <x:c r="H73" s="18" t="str"/>
      <x:c r="I73" s="18" t="str">
        <x:v>https://www.yokoshin.co.jp/_aboutus/kinko/disclosure.html</x:v>
      </x:c>
      <x:c r="J73" s="18" t="str">
        <x:v>https://www.shinkin-central-bank.jp/cgi-bin/s/index.cgi</x:v>
      </x:c>
      <x:c r="K73" s="52" t="n">
        <x:v>1280</x:v>
      </x:c>
      <x:c r="L73" s="60" t="n">
        <x:v>2070383</x:v>
      </x:c>
      <x:c r="M73" s="60" t="n">
        <x:v>1193007</x:v>
      </x:c>
      <x:c r="N73" s="63" t="n">
        <x:f>IFERROR(M73/L73,"")</x:f>
        <x:v>0.5762252684648203</x:v>
      </x:c>
      <x:c r="O73" s="62" t="n">
        <x:v>0.1109</x:v>
      </x:c>
      <x:c r="P73" s="62" t="n">
        <x:v>0.0603</x:v>
      </x:c>
      <x:c r="Q73" s="52" t="str">
        <x:v>https://www.fsa.go.jp/policy/chusho/shihyou.html</x:v>
      </x:c>
    </x:row>
    <x:row r="74">
      <x:c r="A74" s="18" t="n">
        <x:v>73</x:v>
      </x:c>
      <x:c r="B74" s="18" t="str">
        <x:v>かながわ信用金庫</x:v>
      </x:c>
      <x:c r="C74" s="18" t="str">
        <x:v>かながわ</x:v>
      </x:c>
      <x:c r="D74" s="18" t="str">
        <x:v>神奈川県</x:v>
      </x:c>
      <x:c r="E74" s="18" t="str">
        <x:v>関東</x:v>
      </x:c>
      <x:c r="F74" s="18" t="str">
        <x:v>2025-03-31</x:v>
      </x:c>
      <x:c r="G74" s="18" t="str">
        <x:v>Basic Data Found</x:v>
      </x:c>
      <x:c r="H74" s="18" t="str"/>
      <x:c r="I74" s="18" t="str">
        <x:v>https://www.shinkin.co.jp/kanagawa/corp/disklo/</x:v>
      </x:c>
      <x:c r="J74" s="18" t="str">
        <x:v>https://www.shinkin-central-bank.jp/cgi-bin/s/index.cgi</x:v>
      </x:c>
      <x:c r="K74" s="52" t="n">
        <x:v>1281</x:v>
      </x:c>
      <x:c r="L74" s="60" t="n">
        <x:v>1400812</x:v>
      </x:c>
      <x:c r="M74" s="60" t="n">
        <x:v>709233</x:v>
      </x:c>
      <x:c r="N74" s="63" t="n">
        <x:f>IFERROR(M74/L74,"")</x:f>
        <x:v>0.5063013452197725</x:v>
      </x:c>
      <x:c r="O74" s="62" t="n">
        <x:v>0.0708</x:v>
      </x:c>
      <x:c r="P74" s="62" t="n">
        <x:v>0.028300000000000002</x:v>
      </x:c>
      <x:c r="Q74" s="52" t="str">
        <x:v>https://www.fsa.go.jp/policy/chusho/shihyou.html</x:v>
      </x:c>
    </x:row>
    <x:row r="75">
      <x:c r="A75" s="18" t="n">
        <x:v>74</x:v>
      </x:c>
      <x:c r="B75" s="18" t="str">
        <x:v>湘南信用金庫</x:v>
      </x:c>
      <x:c r="C75" s="18" t="str">
        <x:v>湘南</x:v>
      </x:c>
      <x:c r="D75" s="18" t="str">
        <x:v>神奈川県</x:v>
      </x:c>
      <x:c r="E75" s="18" t="str">
        <x:v>関東</x:v>
      </x:c>
      <x:c r="F75" s="18" t="str">
        <x:v>2025-03-31</x:v>
      </x:c>
      <x:c r="G75" s="18" t="str">
        <x:v>Basic Data Found</x:v>
      </x:c>
      <x:c r="H75" s="18" t="str"/>
      <x:c r="I75" s="18" t="str">
        <x:v>https://www.shinkin.co.jp/shonan/about/disclosure.html</x:v>
      </x:c>
      <x:c r="J75" s="18" t="str">
        <x:v>https://www.shinkin-central-bank.jp/cgi-bin/s/index.cgi</x:v>
      </x:c>
      <x:c r="K75" s="52" t="n">
        <x:v>1282</x:v>
      </x:c>
      <x:c r="L75" s="60" t="n">
        <x:v>1326848</x:v>
      </x:c>
      <x:c r="M75" s="60" t="n">
        <x:v>773957</x:v>
      </x:c>
      <x:c r="N75" s="63" t="n">
        <x:f>IFERROR(M75/L75,"")</x:f>
        <x:v>0.583304945253714</x:v>
      </x:c>
      <x:c r="O75" s="62" t="n">
        <x:v>0.0654</x:v>
      </x:c>
      <x:c r="P75" s="62" t="n">
        <x:v>0.053</x:v>
      </x:c>
      <x:c r="Q75" s="52" t="str">
        <x:v>https://www.fsa.go.jp/policy/chusho/shihyou.html</x:v>
      </x:c>
    </x:row>
    <x:row r="76">
      <x:c r="A76" s="18" t="n">
        <x:v>75</x:v>
      </x:c>
      <x:c r="B76" s="18" t="str">
        <x:v>川崎信用金庫</x:v>
      </x:c>
      <x:c r="C76" s="18" t="str">
        <x:v>川崎</x:v>
      </x:c>
      <x:c r="D76" s="18" t="str">
        <x:v>神奈川県</x:v>
      </x:c>
      <x:c r="E76" s="18" t="str">
        <x:v>関東</x:v>
      </x:c>
      <x:c r="F76" s="18" t="str">
        <x:v>2025-03-31</x:v>
      </x:c>
      <x:c r="G76" s="18" t="str">
        <x:v>Basic Data Found</x:v>
      </x:c>
      <x:c r="H76" s="18" t="str"/>
      <x:c r="I76" s="18" t="str">
        <x:v>https://www.kawashin.co.jp/aboutus/disclosure/index.html</x:v>
      </x:c>
      <x:c r="J76" s="18" t="str">
        <x:v>https://www.shinkin-central-bank.jp/cgi-bin/s/index.cgi</x:v>
      </x:c>
      <x:c r="K76" s="52" t="n">
        <x:v>1283</x:v>
      </x:c>
      <x:c r="L76" s="60" t="n">
        <x:v>2379564</x:v>
      </x:c>
      <x:c r="M76" s="60" t="n">
        <x:v>1456111</x:v>
      </x:c>
      <x:c r="N76" s="63" t="n">
        <x:f>IFERROR(M76/L76,"")</x:f>
        <x:v>0.6119234447991313</x:v>
      </x:c>
      <x:c r="O76" s="62" t="n">
        <x:v>0.1349</x:v>
      </x:c>
      <x:c r="P76" s="62" t="n">
        <x:v>0.0473</x:v>
      </x:c>
      <x:c r="Q76" s="52" t="str">
        <x:v>https://www.fsa.go.jp/policy/chusho/shihyou.html</x:v>
      </x:c>
    </x:row>
    <x:row r="77">
      <x:c r="A77" s="18" t="n">
        <x:v>76</x:v>
      </x:c>
      <x:c r="B77" s="18" t="str">
        <x:v>平塚信用金庫</x:v>
      </x:c>
      <x:c r="C77" s="18" t="str">
        <x:v>平塚</x:v>
      </x:c>
      <x:c r="D77" s="18" t="str">
        <x:v>神奈川県</x:v>
      </x:c>
      <x:c r="E77" s="18" t="str">
        <x:v>関東</x:v>
      </x:c>
      <x:c r="F77" s="18" t="str">
        <x:v>2025-03-31</x:v>
      </x:c>
      <x:c r="G77" s="18" t="str">
        <x:v>Basic Data Found</x:v>
      </x:c>
      <x:c r="H77" s="18" t="str"/>
      <x:c r="I77" s="18" t="str">
        <x:v>https://www.shinkin.co.jp/hiratuka/about/disclose.html</x:v>
      </x:c>
      <x:c r="J77" s="18" t="str">
        <x:v>https://www.shinkin-central-bank.jp/cgi-bin/s/index.cgi</x:v>
      </x:c>
      <x:c r="K77" s="52" t="n">
        <x:v>1286</x:v>
      </x:c>
      <x:c r="L77" s="60" t="n">
        <x:v>606027</x:v>
      </x:c>
      <x:c r="M77" s="60" t="n">
        <x:v>261446</x:v>
      </x:c>
      <x:c r="N77" s="63" t="n">
        <x:f>IFERROR(M77/L77,"")</x:f>
        <x:v>0.43140982167461184</x:v>
      </x:c>
      <x:c r="O77" s="62" t="n">
        <x:v>0.1058</x:v>
      </x:c>
      <x:c r="P77" s="62" t="n">
        <x:v>0.0602</x:v>
      </x:c>
      <x:c r="Q77" s="52" t="str">
        <x:v>https://www.fsa.go.jp/policy/chusho/shihyou.html</x:v>
      </x:c>
    </x:row>
    <x:row r="78">
      <x:c r="A78" s="18" t="n">
        <x:v>77</x:v>
      </x:c>
      <x:c r="B78" s="18" t="str">
        <x:v>さがみ信用金庫</x:v>
      </x:c>
      <x:c r="C78" s="18" t="str">
        <x:v>さがみ</x:v>
      </x:c>
      <x:c r="D78" s="18" t="str">
        <x:v>神奈川県</x:v>
      </x:c>
      <x:c r="E78" s="18" t="str">
        <x:v>関東</x:v>
      </x:c>
      <x:c r="F78" s="18" t="str">
        <x:v>2025-03-31</x:v>
      </x:c>
      <x:c r="G78" s="18" t="str">
        <x:v>Basic Data Found</x:v>
      </x:c>
      <x:c r="H78" s="18" t="str"/>
      <x:c r="I78" s="18" t="str">
        <x:v>https://www.shinkin.co.jp/sagami/aboutus/manage/</x:v>
      </x:c>
      <x:c r="J78" s="18" t="str">
        <x:v>https://www.shinkin-central-bank.jp/cgi-bin/s/index.cgi</x:v>
      </x:c>
      <x:c r="K78" s="52" t="n">
        <x:v>1288</x:v>
      </x:c>
      <x:c r="L78" s="60" t="n">
        <x:v>879881</x:v>
      </x:c>
      <x:c r="M78" s="60" t="n">
        <x:v>366458</x:v>
      </x:c>
      <x:c r="N78" s="63" t="n">
        <x:f>IFERROR(M78/L78,"")</x:f>
        <x:v>0.41648586570229384</x:v>
      </x:c>
      <x:c r="O78" s="62" t="n">
        <x:v>0.0965</x:v>
      </x:c>
      <x:c r="P78" s="62" t="n">
        <x:v>0.049699999999999994</x:v>
      </x:c>
      <x:c r="Q78" s="52" t="str">
        <x:v>https://www.fsa.go.jp/policy/chusho/shihyou.html</x:v>
      </x:c>
    </x:row>
    <x:row r="79">
      <x:c r="A79" s="18" t="n">
        <x:v>78</x:v>
      </x:c>
      <x:c r="B79" s="18" t="str">
        <x:v>中栄信用金庫</x:v>
      </x:c>
      <x:c r="C79" s="18" t="str">
        <x:v>中栄</x:v>
      </x:c>
      <x:c r="D79" s="18" t="str">
        <x:v>神奈川県</x:v>
      </x:c>
      <x:c r="E79" s="18" t="str">
        <x:v>関東</x:v>
      </x:c>
      <x:c r="F79" s="18" t="str">
        <x:v>2025-03-31</x:v>
      </x:c>
      <x:c r="G79" s="18" t="str">
        <x:v>Basic Data Found</x:v>
      </x:c>
      <x:c r="H79" s="18" t="str"/>
      <x:c r="I79" s="18" t="str">
        <x:v>https://www.shinkin.co.jp/chuei/about/disclosure/index.php</x:v>
      </x:c>
      <x:c r="J79" s="18" t="str">
        <x:v>https://www.shinkin-central-bank.jp/cgi-bin/s/index.cgi</x:v>
      </x:c>
      <x:c r="K79" s="52" t="n">
        <x:v>1289</x:v>
      </x:c>
      <x:c r="L79" s="60" t="n">
        <x:v>459362</x:v>
      </x:c>
      <x:c r="M79" s="60" t="n">
        <x:v>176893</x:v>
      </x:c>
      <x:c r="N79" s="63" t="n">
        <x:f>IFERROR(M79/L79,"")</x:f>
        <x:v>0.38508409489683515</x:v>
      </x:c>
      <x:c r="O79" s="62" t="n">
        <x:v>0.1776</x:v>
      </x:c>
      <x:c r="P79" s="62" t="n">
        <x:v>0.0377</x:v>
      </x:c>
      <x:c r="Q79" s="52" t="str">
        <x:v>https://www.fsa.go.jp/policy/chusho/shihyou.html</x:v>
      </x:c>
    </x:row>
    <x:row r="80">
      <x:c r="A80" s="18" t="n">
        <x:v>79</x:v>
      </x:c>
      <x:c r="B80" s="18" t="str">
        <x:v>中南信用金庫</x:v>
      </x:c>
      <x:c r="C80" s="18" t="str">
        <x:v>中南</x:v>
      </x:c>
      <x:c r="D80" s="18" t="str">
        <x:v>神奈川県</x:v>
      </x:c>
      <x:c r="E80" s="18" t="str">
        <x:v>関東</x:v>
      </x:c>
      <x:c r="F80" s="18" t="str">
        <x:v>2025-03-31</x:v>
      </x:c>
      <x:c r="G80" s="18" t="str">
        <x:v>Basic Data Found</x:v>
      </x:c>
      <x:c r="H80" s="18" t="str"/>
      <x:c r="I80" s="18" t="str">
        <x:v>https://www.shinkin.co.jp/chunan/about/disclosure.php</x:v>
      </x:c>
      <x:c r="J80" s="18" t="str">
        <x:v>https://www.shinkin-central-bank.jp/cgi-bin/s/index.cgi</x:v>
      </x:c>
      <x:c r="K80" s="52" t="n">
        <x:v>1290</x:v>
      </x:c>
      <x:c r="L80" s="60" t="n">
        <x:v>347586</x:v>
      </x:c>
      <x:c r="M80" s="60" t="n">
        <x:v>104698</x:v>
      </x:c>
      <x:c r="N80" s="63" t="n">
        <x:f>IFERROR(M80/L80,"")</x:f>
        <x:v>0.30121466342142666</x:v>
      </x:c>
      <x:c r="O80" s="62" t="n">
        <x:v>0.128</x:v>
      </x:c>
      <x:c r="P80" s="62" t="n">
        <x:v>0.023700000000000002</x:v>
      </x:c>
      <x:c r="Q80" s="52" t="str">
        <x:v>https://www.fsa.go.jp/policy/chusho/shihyou.html</x:v>
      </x:c>
    </x:row>
    <x:row r="81">
      <x:c r="A81" s="18" t="n">
        <x:v>80</x:v>
      </x:c>
      <x:c r="B81" s="18" t="str">
        <x:v>朝日信用金庫</x:v>
      </x:c>
      <x:c r="C81" s="18" t="str">
        <x:v>朝日</x:v>
      </x:c>
      <x:c r="D81" s="18" t="str">
        <x:v>東京都</x:v>
      </x:c>
      <x:c r="E81" s="18" t="str">
        <x:v>東京</x:v>
      </x:c>
      <x:c r="F81" s="18" t="str">
        <x:v>2025-03-31</x:v>
      </x:c>
      <x:c r="G81" s="18" t="str">
        <x:v>Basic Data Found</x:v>
      </x:c>
      <x:c r="H81" s="18" t="str"/>
      <x:c r="I81" s="18" t="str">
        <x:v>https://www.asahi-shinkin.co.jp/about/disclosure.html</x:v>
      </x:c>
      <x:c r="J81" s="18" t="str">
        <x:v>https://www.shinkin-central-bank.jp/cgi-bin/s/index.cgi</x:v>
      </x:c>
      <x:c r="K81" s="52" t="n">
        <x:v>1303</x:v>
      </x:c>
      <x:c r="L81" s="60" t="n">
        <x:v>2181660</x:v>
      </x:c>
      <x:c r="M81" s="60" t="n">
        <x:v>1470919</x:v>
      </x:c>
      <x:c r="N81" s="63" t="n">
        <x:f>IFERROR(M81/L81,"")</x:f>
        <x:v>0.6742200892898068</x:v>
      </x:c>
      <x:c r="O81" s="62" t="n">
        <x:v>0.09820000000000001</x:v>
      </x:c>
      <x:c r="P81" s="62" t="n">
        <x:v>0.04</x:v>
      </x:c>
      <x:c r="Q81" s="52" t="str">
        <x:v>https://www.fsa.go.jp/policy/chusho/shihyou.html</x:v>
      </x:c>
    </x:row>
    <x:row r="82">
      <x:c r="A82" s="18" t="n">
        <x:v>81</x:v>
      </x:c>
      <x:c r="B82" s="18" t="str">
        <x:v>興産信用金庫</x:v>
      </x:c>
      <x:c r="C82" s="18" t="str">
        <x:v>興産</x:v>
      </x:c>
      <x:c r="D82" s="18" t="str">
        <x:v>東京都</x:v>
      </x:c>
      <x:c r="E82" s="18" t="str">
        <x:v>東京</x:v>
      </x:c>
      <x:c r="F82" s="18" t="str">
        <x:v>2025-03-31</x:v>
      </x:c>
      <x:c r="G82" s="18" t="str">
        <x:v>Basic Data Found</x:v>
      </x:c>
      <x:c r="H82" s="18" t="str"/>
      <x:c r="I82" s="18" t="str">
        <x:v>http://www.shinkin.co.jp/kosan/disclosure/index.html</x:v>
      </x:c>
      <x:c r="J82" s="18" t="str">
        <x:v>https://www.shinkin-central-bank.jp/cgi-bin/s/index.cgi</x:v>
      </x:c>
      <x:c r="K82" s="52" t="n">
        <x:v>1305</x:v>
      </x:c>
      <x:c r="L82" s="60" t="n">
        <x:v>398054</x:v>
      </x:c>
      <x:c r="M82" s="60" t="n">
        <x:v>250587</x:v>
      </x:c>
      <x:c r="N82" s="63" t="n">
        <x:f>IFERROR(M82/L82,"")</x:f>
        <x:v>0.6295301642490717</x:v>
      </x:c>
      <x:c r="O82" s="62" t="n">
        <x:v>0.1165</x:v>
      </x:c>
      <x:c r="P82" s="62" t="n">
        <x:v>0.0368</x:v>
      </x:c>
      <x:c r="Q82" s="52" t="str">
        <x:v>https://www.fsa.go.jp/policy/chusho/shihyou.html</x:v>
      </x:c>
    </x:row>
    <x:row r="83">
      <x:c r="A83" s="18" t="n">
        <x:v>82</x:v>
      </x:c>
      <x:c r="B83" s="18" t="str">
        <x:v>さわやか信用金庫</x:v>
      </x:c>
      <x:c r="C83" s="18" t="str">
        <x:v>さわやか</x:v>
      </x:c>
      <x:c r="D83" s="18" t="str">
        <x:v>東京都</x:v>
      </x:c>
      <x:c r="E83" s="18" t="str">
        <x:v>東京</x:v>
      </x:c>
      <x:c r="F83" s="18" t="str">
        <x:v>2025-03-31</x:v>
      </x:c>
      <x:c r="G83" s="18" t="str">
        <x:v>Basic Data Found</x:v>
      </x:c>
      <x:c r="H83" s="18" t="str"/>
      <x:c r="I83" s="18" t="str">
        <x:v>https://www.sawayaka-shinkin.co.jp/about/disclosure/2025/</x:v>
      </x:c>
      <x:c r="J83" s="18" t="str">
        <x:v>https://www.shinkin-central-bank.jp/cgi-bin/s/index.cgi</x:v>
      </x:c>
      <x:c r="K83" s="52" t="n">
        <x:v>1310</x:v>
      </x:c>
      <x:c r="L83" s="60" t="n">
        <x:v>1544024</x:v>
      </x:c>
      <x:c r="M83" s="60" t="n">
        <x:v>919227</x:v>
      </x:c>
      <x:c r="N83" s="63" t="n">
        <x:f>IFERROR(M83/L83,"")</x:f>
        <x:v>0.5953450205437221</x:v>
      </x:c>
      <x:c r="O83" s="62" t="n">
        <x:v>0.0974</x:v>
      </x:c>
      <x:c r="P83" s="62" t="n">
        <x:v>0.031</x:v>
      </x:c>
      <x:c r="Q83" s="52" t="str">
        <x:v>https://www.fsa.go.jp/policy/chusho/shihyou.html</x:v>
      </x:c>
    </x:row>
    <x:row r="84">
      <x:c r="A84" s="18" t="n">
        <x:v>83</x:v>
      </x:c>
      <x:c r="B84" s="18" t="str">
        <x:v>東京シティ信用金庫</x:v>
      </x:c>
      <x:c r="C84" s="18" t="str">
        <x:v>東京シティ</x:v>
      </x:c>
      <x:c r="D84" s="18" t="str">
        <x:v>東京都</x:v>
      </x:c>
      <x:c r="E84" s="18" t="str">
        <x:v>東京</x:v>
      </x:c>
      <x:c r="F84" s="18" t="str">
        <x:v>2025-03-31</x:v>
      </x:c>
      <x:c r="G84" s="18" t="str">
        <x:v>Basic Data Found</x:v>
      </x:c>
      <x:c r="H84" s="18" t="str"/>
      <x:c r="I84" s="18" t="str">
        <x:v>http://www.shinkin.co.jp/to-city/disclosure/disclosure.html</x:v>
      </x:c>
      <x:c r="J84" s="18" t="str">
        <x:v>https://www.shinkin-central-bank.jp/cgi-bin/s/index.cgi</x:v>
      </x:c>
      <x:c r="K84" s="52" t="n">
        <x:v>1311</x:v>
      </x:c>
      <x:c r="L84" s="60" t="n">
        <x:v>856914</x:v>
      </x:c>
      <x:c r="M84" s="60" t="n">
        <x:v>618053</x:v>
      </x:c>
      <x:c r="N84" s="63" t="n">
        <x:f>IFERROR(M84/L84,"")</x:f>
        <x:v>0.7212544082603388</x:v>
      </x:c>
      <x:c r="O84" s="62" t="n">
        <x:v>0.0959</x:v>
      </x:c>
      <x:c r="P84" s="62" t="n">
        <x:v>0.0287</x:v>
      </x:c>
      <x:c r="Q84" s="52" t="str">
        <x:v>https://www.fsa.go.jp/policy/chusho/shihyou.html</x:v>
      </x:c>
    </x:row>
    <x:row r="85">
      <x:c r="A85" s="18" t="n">
        <x:v>84</x:v>
      </x:c>
      <x:c r="B85" s="18" t="str">
        <x:v>芝信用金庫</x:v>
      </x:c>
      <x:c r="C85" s="18" t="str">
        <x:v>芝</x:v>
      </x:c>
      <x:c r="D85" s="18" t="str">
        <x:v>東京都</x:v>
      </x:c>
      <x:c r="E85" s="18" t="str">
        <x:v>東京</x:v>
      </x:c>
      <x:c r="F85" s="18" t="str">
        <x:v>2025-03-31</x:v>
      </x:c>
      <x:c r="G85" s="18" t="str">
        <x:v>Basic Data Found</x:v>
      </x:c>
      <x:c r="H85" s="18" t="str"/>
      <x:c r="I85" s="18" t="str">
        <x:v>https://www.shibashin.jp/company/disclosure/</x:v>
      </x:c>
      <x:c r="J85" s="18" t="str">
        <x:v>https://www.shinkin-central-bank.jp/cgi-bin/s/index.cgi</x:v>
      </x:c>
      <x:c r="K85" s="52" t="n">
        <x:v>1319</x:v>
      </x:c>
      <x:c r="L85" s="60" t="n">
        <x:v>1113034</x:v>
      </x:c>
      <x:c r="M85" s="60" t="n">
        <x:v>584691</x:v>
      </x:c>
      <x:c r="N85" s="63" t="n">
        <x:f>IFERROR(M85/L85,"")</x:f>
        <x:v>0.5253127936792586</x:v>
      </x:c>
      <x:c r="O85" s="62" t="n">
        <x:v>0.1387</x:v>
      </x:c>
      <x:c r="P85" s="62" t="n">
        <x:v>0.0239</x:v>
      </x:c>
      <x:c r="Q85" s="52" t="str">
        <x:v>https://www.fsa.go.jp/policy/chusho/shihyou.html</x:v>
      </x:c>
    </x:row>
    <x:row r="86">
      <x:c r="A86" s="18" t="n">
        <x:v>85</x:v>
      </x:c>
      <x:c r="B86" s="18" t="str">
        <x:v>東京東信用金庫</x:v>
      </x:c>
      <x:c r="C86" s="18" t="str">
        <x:v>東京東</x:v>
      </x:c>
      <x:c r="D86" s="18" t="str">
        <x:v>東京都</x:v>
      </x:c>
      <x:c r="E86" s="18" t="str">
        <x:v>東京</x:v>
      </x:c>
      <x:c r="F86" s="18" t="str">
        <x:v>2025-03-31</x:v>
      </x:c>
      <x:c r="G86" s="18" t="str">
        <x:v>Basic Data Found</x:v>
      </x:c>
      <x:c r="H86" s="18" t="str"/>
      <x:c r="I86" s="18" t="str">
        <x:v>https://www.higashin.co.jp/company/disclosure.shtml</x:v>
      </x:c>
      <x:c r="J86" s="18" t="str">
        <x:v>https://www.shinkin-central-bank.jp/cgi-bin/s/index.cgi</x:v>
      </x:c>
      <x:c r="K86" s="52" t="n">
        <x:v>1320</x:v>
      </x:c>
      <x:c r="L86" s="60" t="n">
        <x:v>2082514</x:v>
      </x:c>
      <x:c r="M86" s="60" t="n">
        <x:v>1151020</x:v>
      </x:c>
      <x:c r="N86" s="63" t="n">
        <x:f>IFERROR(M86/L86,"")</x:f>
        <x:v>0.5527069685966097</x:v>
      </x:c>
      <x:c r="O86" s="62" t="n">
        <x:v>0.1158</x:v>
      </x:c>
      <x:c r="P86" s="62" t="n">
        <x:v>0.031200000000000002</x:v>
      </x:c>
      <x:c r="Q86" s="52" t="str">
        <x:v>https://www.fsa.go.jp/policy/chusho/shihyou.html</x:v>
      </x:c>
    </x:row>
    <x:row r="87">
      <x:c r="A87" s="18" t="n">
        <x:v>86</x:v>
      </x:c>
      <x:c r="B87" s="18" t="str">
        <x:v>東栄信用金庫</x:v>
      </x:c>
      <x:c r="C87" s="18" t="str">
        <x:v>東栄</x:v>
      </x:c>
      <x:c r="D87" s="18" t="str">
        <x:v>東京都</x:v>
      </x:c>
      <x:c r="E87" s="18" t="str">
        <x:v>東京</x:v>
      </x:c>
      <x:c r="F87" s="18" t="str">
        <x:v>2025-03-31</x:v>
      </x:c>
      <x:c r="G87" s="18" t="str">
        <x:v>Basic Data Found</x:v>
      </x:c>
      <x:c r="H87" s="18" t="str"/>
      <x:c r="I87" s="18" t="str">
        <x:v>https://www.toeishinkin.co.jp/page_id=59.html</x:v>
      </x:c>
      <x:c r="J87" s="18" t="str">
        <x:v>https://www.shinkin-central-bank.jp/cgi-bin/s/index.cgi</x:v>
      </x:c>
      <x:c r="K87" s="52" t="n">
        <x:v>1321</x:v>
      </x:c>
      <x:c r="L87" s="60" t="n">
        <x:v>138011</x:v>
      </x:c>
      <x:c r="M87" s="60" t="n">
        <x:v>67096</x:v>
      </x:c>
      <x:c r="N87" s="63" t="n">
        <x:f>IFERROR(M87/L87,"")</x:f>
        <x:v>0.4861641463361616</x:v>
      </x:c>
      <x:c r="O87" s="62" t="n">
        <x:v>0.1469</x:v>
      </x:c>
      <x:c r="P87" s="62" t="n">
        <x:v>0.0326</x:v>
      </x:c>
      <x:c r="Q87" s="52" t="str">
        <x:v>https://www.fsa.go.jp/policy/chusho/shihyou.html</x:v>
      </x:c>
    </x:row>
    <x:row r="88">
      <x:c r="A88" s="18" t="n">
        <x:v>87</x:v>
      </x:c>
      <x:c r="B88" s="18" t="str">
        <x:v>亀有信用金庫</x:v>
      </x:c>
      <x:c r="C88" s="18" t="str">
        <x:v>亀有</x:v>
      </x:c>
      <x:c r="D88" s="18" t="str">
        <x:v>東京都</x:v>
      </x:c>
      <x:c r="E88" s="18" t="str">
        <x:v>東京</x:v>
      </x:c>
      <x:c r="F88" s="18" t="str">
        <x:v>2025-03-31</x:v>
      </x:c>
      <x:c r="G88" s="18" t="str">
        <x:v>Basic Data Found</x:v>
      </x:c>
      <x:c r="H88" s="18" t="str"/>
      <x:c r="I88" s="18" t="str">
        <x:v>https://www.shinkin.co.jp/kameari/pc/_aboutus/disclosure.php</x:v>
      </x:c>
      <x:c r="J88" s="18" t="str">
        <x:v>https://www.shinkin-central-bank.jp/cgi-bin/s/index.cgi</x:v>
      </x:c>
      <x:c r="K88" s="52" t="n">
        <x:v>1323</x:v>
      </x:c>
      <x:c r="L88" s="60" t="n">
        <x:v>640032</x:v>
      </x:c>
      <x:c r="M88" s="60" t="n">
        <x:v>283241</x:v>
      </x:c>
      <x:c r="N88" s="63" t="n">
        <x:f>IFERROR(M88/L88,"")</x:f>
        <x:v>0.44254193540322984</x:v>
      </x:c>
      <x:c r="O88" s="62" t="n">
        <x:v>0.15990000000000001</x:v>
      </x:c>
      <x:c r="P88" s="62" t="n">
        <x:v>0.0368</x:v>
      </x:c>
      <x:c r="Q88" s="52" t="str">
        <x:v>https://www.fsa.go.jp/policy/chusho/shihyou.html</x:v>
      </x:c>
    </x:row>
    <x:row r="89">
      <x:c r="A89" s="18" t="n">
        <x:v>88</x:v>
      </x:c>
      <x:c r="B89" s="18" t="str">
        <x:v>小松川信用金庫</x:v>
      </x:c>
      <x:c r="C89" s="18" t="str">
        <x:v>小松川</x:v>
      </x:c>
      <x:c r="D89" s="18" t="str">
        <x:v>東京都</x:v>
      </x:c>
      <x:c r="E89" s="18" t="str">
        <x:v>東京</x:v>
      </x:c>
      <x:c r="F89" s="18" t="str">
        <x:v>2025-03-31</x:v>
      </x:c>
      <x:c r="G89" s="18" t="str">
        <x:v>Basic Data Found</x:v>
      </x:c>
      <x:c r="H89" s="18" t="str"/>
      <x:c r="I89" s="18" t="str">
        <x:v>https://www.shinkin.co.jp/komashin/disclosure.html</x:v>
      </x:c>
      <x:c r="J89" s="18" t="str">
        <x:v>https://www.shinkin-central-bank.jp/cgi-bin/s/index.cgi</x:v>
      </x:c>
      <x:c r="K89" s="52" t="n">
        <x:v>1326</x:v>
      </x:c>
      <x:c r="L89" s="60" t="n">
        <x:v>159379</x:v>
      </x:c>
      <x:c r="M89" s="60" t="n">
        <x:v>97347</x:v>
      </x:c>
      <x:c r="N89" s="63" t="n">
        <x:f>IFERROR(M89/L89,"")</x:f>
        <x:v>0.6107893762666349</x:v>
      </x:c>
      <x:c r="O89" s="62" t="n">
        <x:v>0.1109</x:v>
      </x:c>
      <x:c r="P89" s="62" t="n">
        <x:v>0.0196</x:v>
      </x:c>
      <x:c r="Q89" s="52" t="str">
        <x:v>https://www.fsa.go.jp/policy/chusho/shihyou.html</x:v>
      </x:c>
    </x:row>
    <x:row r="90">
      <x:c r="A90" s="18" t="n">
        <x:v>89</x:v>
      </x:c>
      <x:c r="B90" s="18" t="str">
        <x:v>足立成和信用金庫</x:v>
      </x:c>
      <x:c r="C90" s="18" t="str">
        <x:v>足立成和</x:v>
      </x:c>
      <x:c r="D90" s="18" t="str">
        <x:v>東京都</x:v>
      </x:c>
      <x:c r="E90" s="18" t="str">
        <x:v>東京</x:v>
      </x:c>
      <x:c r="F90" s="18" t="str">
        <x:v>2025-03-31</x:v>
      </x:c>
      <x:c r="G90" s="18" t="str">
        <x:v>Basic Data Found</x:v>
      </x:c>
      <x:c r="H90" s="18" t="str"/>
      <x:c r="I90" s="18" t="str">
        <x:v>https://www.adachiseiwa.co.jp/about/disclosure/</x:v>
      </x:c>
      <x:c r="J90" s="18" t="str">
        <x:v>https://www.shinkin-central-bank.jp/cgi-bin/s/index.cgi</x:v>
      </x:c>
      <x:c r="K90" s="52" t="n">
        <x:v>1327</x:v>
      </x:c>
      <x:c r="L90" s="60" t="n">
        <x:v>588524</x:v>
      </x:c>
      <x:c r="M90" s="60" t="n">
        <x:v>300980</x:v>
      </x:c>
      <x:c r="N90" s="63" t="n">
        <x:f>IFERROR(M90/L90,"")</x:f>
        <x:v>0.5114149975192176</x:v>
      </x:c>
      <x:c r="O90" s="62" t="n">
        <x:v>0.1168</x:v>
      </x:c>
      <x:c r="P90" s="62" t="n">
        <x:v>0.037599999999999995</x:v>
      </x:c>
      <x:c r="Q90" s="52" t="str">
        <x:v>https://www.fsa.go.jp/policy/chusho/shihyou.html</x:v>
      </x:c>
    </x:row>
    <x:row r="91">
      <x:c r="A91" s="18" t="n">
        <x:v>90</x:v>
      </x:c>
      <x:c r="B91" s="18" t="str">
        <x:v>東京三協信用金庫</x:v>
      </x:c>
      <x:c r="C91" s="18" t="str">
        <x:v>東京三協</x:v>
      </x:c>
      <x:c r="D91" s="18" t="str">
        <x:v>東京都</x:v>
      </x:c>
      <x:c r="E91" s="18" t="str">
        <x:v>東京</x:v>
      </x:c>
      <x:c r="F91" s="18" t="str">
        <x:v>2025-03-31</x:v>
      </x:c>
      <x:c r="G91" s="18" t="str">
        <x:v>Basic Data Found</x:v>
      </x:c>
      <x:c r="H91" s="18" t="str"/>
      <x:c r="I91" s="18" t="str">
        <x:v>https://www.shinkin.co.jp/sankyo/discro.htm</x:v>
      </x:c>
      <x:c r="J91" s="18" t="str">
        <x:v>https://www.shinkin-central-bank.jp/cgi-bin/s/index.cgi</x:v>
      </x:c>
      <x:c r="K91" s="52" t="n">
        <x:v>1333</x:v>
      </x:c>
      <x:c r="L91" s="60" t="n">
        <x:v>189994</x:v>
      </x:c>
      <x:c r="M91" s="60" t="n">
        <x:v>109183</x:v>
      </x:c>
      <x:c r="N91" s="63" t="n">
        <x:f>IFERROR(M91/L91,"")</x:f>
        <x:v>0.5746655157531291</x:v>
      </x:c>
      <x:c r="O91" s="62" t="n">
        <x:v>0.09949999999999999</x:v>
      </x:c>
      <x:c r="P91" s="62" t="n">
        <x:v>0.0158</x:v>
      </x:c>
      <x:c r="Q91" s="52" t="str">
        <x:v>https://www.fsa.go.jp/policy/chusho/shihyou.html</x:v>
      </x:c>
    </x:row>
    <x:row r="92">
      <x:c r="A92" s="18" t="n">
        <x:v>91</x:v>
      </x:c>
      <x:c r="B92" s="18" t="str">
        <x:v>西京信用金庫</x:v>
      </x:c>
      <x:c r="C92" s="18" t="str">
        <x:v>西京</x:v>
      </x:c>
      <x:c r="D92" s="18" t="str">
        <x:v>東京都</x:v>
      </x:c>
      <x:c r="E92" s="18" t="str">
        <x:v>東京</x:v>
      </x:c>
      <x:c r="F92" s="18" t="str">
        <x:v>2025-03-31</x:v>
      </x:c>
      <x:c r="G92" s="18" t="str">
        <x:v>Basic Data Found</x:v>
      </x:c>
      <x:c r="H92" s="18" t="str"/>
      <x:c r="I92" s="18" t="str">
        <x:v>https://www.shinkin.co.jp/saikyo/about/disclosure/index.shtml</x:v>
      </x:c>
      <x:c r="J92" s="18" t="str">
        <x:v>https://www.shinkin-central-bank.jp/cgi-bin/s/index.cgi</x:v>
      </x:c>
      <x:c r="K92" s="52" t="n">
        <x:v>1336</x:v>
      </x:c>
      <x:c r="L92" s="60" t="n">
        <x:v>670428</x:v>
      </x:c>
      <x:c r="M92" s="60" t="n">
        <x:v>381025</x:v>
      </x:c>
      <x:c r="N92" s="63" t="n">
        <x:f>IFERROR(M92/L92,"")</x:f>
        <x:v>0.5683309766298543</x:v>
      </x:c>
      <x:c r="O92" s="62" t="n">
        <x:v>0.1514</x:v>
      </x:c>
      <x:c r="P92" s="62" t="n">
        <x:v>0.0394</x:v>
      </x:c>
      <x:c r="Q92" s="52" t="str">
        <x:v>https://www.fsa.go.jp/policy/chusho/shihyou.html</x:v>
      </x:c>
    </x:row>
    <x:row r="93">
      <x:c r="A93" s="18" t="n">
        <x:v>92</x:v>
      </x:c>
      <x:c r="B93" s="18" t="str">
        <x:v>西武信用金庫</x:v>
      </x:c>
      <x:c r="C93" s="18" t="str">
        <x:v>西武</x:v>
      </x:c>
      <x:c r="D93" s="18" t="str">
        <x:v>東京都</x:v>
      </x:c>
      <x:c r="E93" s="18" t="str">
        <x:v>東京</x:v>
      </x:c>
      <x:c r="F93" s="18" t="str">
        <x:v>2025-03-31</x:v>
      </x:c>
      <x:c r="G93" s="18" t="str">
        <x:v>Basic Data Found</x:v>
      </x:c>
      <x:c r="H93" s="18" t="str"/>
      <x:c r="I93" s="18" t="str">
        <x:v>https://www.shinkin.co.jp/seibu/about/outline/disclosure/index.html</x:v>
      </x:c>
      <x:c r="J93" s="18" t="str">
        <x:v>https://www.shinkin-central-bank.jp/cgi-bin/s/index.cgi</x:v>
      </x:c>
      <x:c r="K93" s="52" t="n">
        <x:v>1341</x:v>
      </x:c>
      <x:c r="L93" s="60" t="n">
        <x:v>2195323</x:v>
      </x:c>
      <x:c r="M93" s="60" t="n">
        <x:v>1495427</x:v>
      </x:c>
      <x:c r="N93" s="63" t="n">
        <x:f>IFERROR(M93/L93,"")</x:f>
        <x:v>0.6811876885542583</x:v>
      </x:c>
      <x:c r="O93" s="62" t="n">
        <x:v>0.1387</x:v>
      </x:c>
      <x:c r="P93" s="62" t="n">
        <x:v>0.0187</x:v>
      </x:c>
      <x:c r="Q93" s="52" t="str">
        <x:v>https://www.fsa.go.jp/policy/chusho/shihyou.html</x:v>
      </x:c>
    </x:row>
    <x:row r="94">
      <x:c r="A94" s="18" t="n">
        <x:v>93</x:v>
      </x:c>
      <x:c r="B94" s="18" t="str">
        <x:v>城南信用金庫</x:v>
      </x:c>
      <x:c r="C94" s="18" t="str">
        <x:v>城南</x:v>
      </x:c>
      <x:c r="D94" s="18" t="str">
        <x:v>東京都</x:v>
      </x:c>
      <x:c r="E94" s="18" t="str">
        <x:v>東京</x:v>
      </x:c>
      <x:c r="F94" s="18" t="str">
        <x:v>2025-03-31</x:v>
      </x:c>
      <x:c r="G94" s="18" t="str">
        <x:v>Basic Data Found</x:v>
      </x:c>
      <x:c r="H94" s="18" t="str"/>
      <x:c r="I94" s="18" t="str">
        <x:v>https://www.jsbank.co.jp/about/disclosure/</x:v>
      </x:c>
      <x:c r="J94" s="18" t="str">
        <x:v>https://www.shinkin-central-bank.jp/cgi-bin/s/index.cgi</x:v>
      </x:c>
      <x:c r="K94" s="52" t="n">
        <x:v>1344</x:v>
      </x:c>
      <x:c r="L94" s="60" t="n">
        <x:v>4023797</x:v>
      </x:c>
      <x:c r="M94" s="60" t="n">
        <x:v>2354542</x:v>
      </x:c>
      <x:c r="N94" s="63" t="n">
        <x:f>IFERROR(M94/L94,"")</x:f>
        <x:v>0.5851542709535297</x:v>
      </x:c>
      <x:c r="O94" s="62" t="n">
        <x:v>0.1109</x:v>
      </x:c>
      <x:c r="P94" s="62" t="n">
        <x:v>0.0369</x:v>
      </x:c>
      <x:c r="Q94" s="52" t="str">
        <x:v>https://www.fsa.go.jp/policy/chusho/shihyou.html</x:v>
      </x:c>
    </x:row>
    <x:row r="95">
      <x:c r="A95" s="18" t="n">
        <x:v>94</x:v>
      </x:c>
      <x:c r="B95" s="18" t="str">
        <x:v>昭和信用金庫</x:v>
      </x:c>
      <x:c r="C95" s="18" t="str">
        <x:v>昭和</x:v>
      </x:c>
      <x:c r="D95" s="18" t="str">
        <x:v>東京都</x:v>
      </x:c>
      <x:c r="E95" s="18" t="str">
        <x:v>東京</x:v>
      </x:c>
      <x:c r="F95" s="18" t="str">
        <x:v>2025-03-31</x:v>
      </x:c>
      <x:c r="G95" s="18" t="str">
        <x:v>Basic Data Found</x:v>
      </x:c>
      <x:c r="H95" s="18" t="str"/>
      <x:c r="I95" s="18" t="str">
        <x:v>https://www.shinkin.co.jp/showa/about/profile/disclosureindex.html</x:v>
      </x:c>
      <x:c r="J95" s="18" t="str">
        <x:v>https://www.shinkin-central-bank.jp/cgi-bin/s/index.cgi</x:v>
      </x:c>
      <x:c r="K95" s="52" t="n">
        <x:v>1345</x:v>
      </x:c>
      <x:c r="L95" s="60" t="n">
        <x:v>469991</x:v>
      </x:c>
      <x:c r="M95" s="60" t="n">
        <x:v>220418</x:v>
      </x:c>
      <x:c r="N95" s="63" t="n">
        <x:f>IFERROR(M95/L95,"")</x:f>
        <x:v>0.46898344861922886</x:v>
      </x:c>
      <x:c r="O95" s="62" t="n">
        <x:v>0.1185</x:v>
      </x:c>
      <x:c r="P95" s="62" t="n">
        <x:v>0.024399999999999998</x:v>
      </x:c>
      <x:c r="Q95" s="52" t="str">
        <x:v>https://www.fsa.go.jp/policy/chusho/shihyou.html</x:v>
      </x:c>
    </x:row>
    <x:row r="96">
      <x:c r="A96" s="18" t="n">
        <x:v>95</x:v>
      </x:c>
      <x:c r="B96" s="18" t="str">
        <x:v>目黒信用金庫</x:v>
      </x:c>
      <x:c r="C96" s="18" t="str">
        <x:v>目黒</x:v>
      </x:c>
      <x:c r="D96" s="18" t="str">
        <x:v>東京都</x:v>
      </x:c>
      <x:c r="E96" s="18" t="str">
        <x:v>東京</x:v>
      </x:c>
      <x:c r="F96" s="18" t="str">
        <x:v>2025-03-31</x:v>
      </x:c>
      <x:c r="G96" s="18" t="str">
        <x:v>Basic Data Found</x:v>
      </x:c>
      <x:c r="H96" s="18" t="str"/>
      <x:c r="I96" s="18" t="str">
        <x:v>https://www.shinkin.co.jp/meguro/fr_disclosure.html</x:v>
      </x:c>
      <x:c r="J96" s="18" t="str">
        <x:v>https://www.shinkin-central-bank.jp/cgi-bin/s/index.cgi</x:v>
      </x:c>
      <x:c r="K96" s="52" t="n">
        <x:v>1346</x:v>
      </x:c>
      <x:c r="L96" s="60" t="n">
        <x:v>193185</x:v>
      </x:c>
      <x:c r="M96" s="60" t="n">
        <x:v>105212</x:v>
      </x:c>
      <x:c r="N96" s="63" t="n">
        <x:f>IFERROR(M96/L96,"")</x:f>
        <x:v>0.5446178533530036</x:v>
      </x:c>
      <x:c r="O96" s="62" t="n">
        <x:v>0.1523</x:v>
      </x:c>
      <x:c r="P96" s="62" t="n">
        <x:v>0.0026</x:v>
      </x:c>
      <x:c r="Q96" s="52" t="str">
        <x:v>https://www.fsa.go.jp/policy/chusho/shihyou.html</x:v>
      </x:c>
    </x:row>
    <x:row r="97">
      <x:c r="A97" s="18" t="n">
        <x:v>96</x:v>
      </x:c>
      <x:c r="B97" s="18" t="str">
        <x:v>世田谷信用金庫</x:v>
      </x:c>
      <x:c r="C97" s="18" t="str">
        <x:v>世田谷</x:v>
      </x:c>
      <x:c r="D97" s="18" t="str">
        <x:v>東京都</x:v>
      </x:c>
      <x:c r="E97" s="18" t="str">
        <x:v>東京</x:v>
      </x:c>
      <x:c r="F97" s="18" t="str">
        <x:v>2025-03-31</x:v>
      </x:c>
      <x:c r="G97" s="18" t="str">
        <x:v>Basic Data Found</x:v>
      </x:c>
      <x:c r="H97" s="18" t="str"/>
      <x:c r="I97" s="18" t="str">
        <x:v>https://www.shinkin.co.jp/setagaya/about/disclo.html</x:v>
      </x:c>
      <x:c r="J97" s="18" t="str">
        <x:v>https://www.shinkin-central-bank.jp/cgi-bin/s/index.cgi</x:v>
      </x:c>
      <x:c r="K97" s="52" t="n">
        <x:v>1348</x:v>
      </x:c>
      <x:c r="L97" s="60" t="n">
        <x:v>266148</x:v>
      </x:c>
      <x:c r="M97" s="60" t="n">
        <x:v>152276</x:v>
      </x:c>
      <x:c r="N97" s="63" t="n">
        <x:f>IFERROR(M97/L97,"")</x:f>
        <x:v>0.5721478275245352</x:v>
      </x:c>
      <x:c r="O97" s="62" t="n">
        <x:v>0.085</x:v>
      </x:c>
      <x:c r="P97" s="62" t="n">
        <x:v>0.0226</x:v>
      </x:c>
      <x:c r="Q97" s="52" t="str">
        <x:v>https://www.fsa.go.jp/policy/chusho/shihyou.html</x:v>
      </x:c>
    </x:row>
    <x:row r="98">
      <x:c r="A98" s="18" t="n">
        <x:v>97</x:v>
      </x:c>
      <x:c r="B98" s="18" t="str">
        <x:v>東京信用金庫</x:v>
      </x:c>
      <x:c r="C98" s="18" t="str">
        <x:v>東京</x:v>
      </x:c>
      <x:c r="D98" s="18" t="str">
        <x:v>東京都</x:v>
      </x:c>
      <x:c r="E98" s="18" t="str">
        <x:v>東京</x:v>
      </x:c>
      <x:c r="F98" s="18" t="str">
        <x:v>2025-03-31</x:v>
      </x:c>
      <x:c r="G98" s="18" t="str">
        <x:v>Basic Data Found</x:v>
      </x:c>
      <x:c r="H98" s="18" t="str"/>
      <x:c r="I98" s="18" t="str">
        <x:v>https://www.tokyo-shinkin.co.jp/aboutus/disclosure/index.html</x:v>
      </x:c>
      <x:c r="J98" s="18" t="str">
        <x:v>https://www.shinkin-central-bank.jp/cgi-bin/s/index.cgi</x:v>
      </x:c>
      <x:c r="K98" s="52" t="n">
        <x:v>1349</x:v>
      </x:c>
      <x:c r="L98" s="60" t="n">
        <x:v>1229001</x:v>
      </x:c>
      <x:c r="M98" s="60" t="n">
        <x:v>771928</x:v>
      </x:c>
      <x:c r="N98" s="63" t="n">
        <x:f>IFERROR(M98/L98,"")</x:f>
        <x:v>0.628093874618491</x:v>
      </x:c>
      <x:c r="O98" s="62" t="n">
        <x:v>0.1118</x:v>
      </x:c>
      <x:c r="P98" s="62" t="n">
        <x:v>0.0199</x:v>
      </x:c>
      <x:c r="Q98" s="52" t="str">
        <x:v>https://www.fsa.go.jp/policy/chusho/shihyou.html</x:v>
      </x:c>
    </x:row>
    <x:row r="99">
      <x:c r="A99" s="18" t="n">
        <x:v>98</x:v>
      </x:c>
      <x:c r="B99" s="18" t="str">
        <x:v>城北信用金庫</x:v>
      </x:c>
      <x:c r="C99" s="18" t="str">
        <x:v>城北</x:v>
      </x:c>
      <x:c r="D99" s="18" t="str">
        <x:v>東京都</x:v>
      </x:c>
      <x:c r="E99" s="18" t="str">
        <x:v>東京</x:v>
      </x:c>
      <x:c r="F99" s="18" t="str">
        <x:v>2025-03-31</x:v>
      </x:c>
      <x:c r="G99" s="18" t="str">
        <x:v>Basic Data Found</x:v>
      </x:c>
      <x:c r="H99" s="18" t="str"/>
      <x:c r="I99" s="18" t="str">
        <x:v>https://www.johokubank.jp/about/disclosure.html</x:v>
      </x:c>
      <x:c r="J99" s="18" t="str">
        <x:v>https://www.shinkin-central-bank.jp/cgi-bin/s/index.cgi</x:v>
      </x:c>
      <x:c r="K99" s="52" t="n">
        <x:v>1351</x:v>
      </x:c>
      <x:c r="L99" s="60" t="n">
        <x:v>2657088</x:v>
      </x:c>
      <x:c r="M99" s="60" t="n">
        <x:v>1309487</x:v>
      </x:c>
      <x:c r="N99" s="63" t="n">
        <x:f>IFERROR(M99/L99,"")</x:f>
        <x:v>0.49282786268275647</x:v>
      </x:c>
      <x:c r="O99" s="62" t="n">
        <x:v>0.08130000000000001</x:v>
      </x:c>
      <x:c r="P99" s="62" t="n">
        <x:v>0.0313</x:v>
      </x:c>
      <x:c r="Q99" s="52" t="str">
        <x:v>https://www.fsa.go.jp/policy/chusho/shihyou.html</x:v>
      </x:c>
    </x:row>
    <x:row r="100">
      <x:c r="A100" s="18" t="n">
        <x:v>99</x:v>
      </x:c>
      <x:c r="B100" s="18" t="str">
        <x:v>瀧野川信用金庫</x:v>
      </x:c>
      <x:c r="C100" s="18" t="str">
        <x:v>瀧野川</x:v>
      </x:c>
      <x:c r="D100" s="18" t="str">
        <x:v>東京都</x:v>
      </x:c>
      <x:c r="E100" s="18" t="str">
        <x:v>東京</x:v>
      </x:c>
      <x:c r="F100" s="18" t="str">
        <x:v>2025-03-31</x:v>
      </x:c>
      <x:c r="G100" s="18" t="str">
        <x:v>Basic Data Found</x:v>
      </x:c>
      <x:c r="H100" s="18" t="str"/>
      <x:c r="I100" s="18" t="str">
        <x:v>https://www.shinkin.co.jp/takishin/about/disclo.html</x:v>
      </x:c>
      <x:c r="J100" s="18" t="str">
        <x:v>https://www.shinkin-central-bank.jp/cgi-bin/s/index.cgi</x:v>
      </x:c>
      <x:c r="K100" s="52" t="n">
        <x:v>1352</x:v>
      </x:c>
      <x:c r="L100" s="60" t="n">
        <x:v>688194</x:v>
      </x:c>
      <x:c r="M100" s="60" t="n">
        <x:v>367245</x:v>
      </x:c>
      <x:c r="N100" s="63" t="n">
        <x:f>IFERROR(M100/L100,"")</x:f>
        <x:v>0.5336358643057045</x:v>
      </x:c>
      <x:c r="O100" s="62" t="n">
        <x:v>0.0867</x:v>
      </x:c>
      <x:c r="P100" s="62" t="n">
        <x:v>0.028399999999999998</x:v>
      </x:c>
      <x:c r="Q100" s="52" t="str">
        <x:v>https://www.fsa.go.jp/policy/chusho/shihyou.html</x:v>
      </x:c>
    </x:row>
    <x:row r="101">
      <x:c r="A101" s="18" t="n">
        <x:v>100</x:v>
      </x:c>
      <x:c r="B101" s="18" t="str">
        <x:v>巣鴨信用金庫</x:v>
      </x:c>
      <x:c r="C101" s="18" t="str">
        <x:v>巣鴨</x:v>
      </x:c>
      <x:c r="D101" s="18" t="str">
        <x:v>東京都</x:v>
      </x:c>
      <x:c r="E101" s="18" t="str">
        <x:v>東京</x:v>
      </x:c>
      <x:c r="F101" s="18" t="str">
        <x:v>2025-03-31</x:v>
      </x:c>
      <x:c r="G101" s="18" t="str">
        <x:v>Basic Data Found</x:v>
      </x:c>
      <x:c r="H101" s="18" t="str"/>
      <x:c r="I101" s="18" t="str">
        <x:v>https://www.sugamo.co.jp/guide/about/disclosure/disclosure.html</x:v>
      </x:c>
      <x:c r="J101" s="18" t="str">
        <x:v>https://www.shinkin-central-bank.jp/cgi-bin/s/index.cgi</x:v>
      </x:c>
      <x:c r="K101" s="52" t="n">
        <x:v>1356</x:v>
      </x:c>
      <x:c r="L101" s="60" t="n">
        <x:v>2008768</x:v>
      </x:c>
      <x:c r="M101" s="60" t="n">
        <x:v>948712</x:v>
      </x:c>
      <x:c r="N101" s="63" t="n">
        <x:f>IFERROR(M101/L101,"")</x:f>
        <x:v>0.4722855003663937</x:v>
      </x:c>
      <x:c r="O101" s="62" t="n">
        <x:v>0.10949999999999999</x:v>
      </x:c>
      <x:c r="P101" s="62" t="n">
        <x:v>0.0335</x:v>
      </x:c>
      <x:c r="Q101" s="52" t="str">
        <x:v>https://www.fsa.go.jp/policy/chusho/shihyou.html</x:v>
      </x:c>
    </x:row>
    <x:row r="102">
      <x:c r="A102" s="18" t="n">
        <x:v>101</x:v>
      </x:c>
      <x:c r="B102" s="18" t="str">
        <x:v>青梅信用金庫</x:v>
      </x:c>
      <x:c r="C102" s="18" t="str">
        <x:v>青梅</x:v>
      </x:c>
      <x:c r="D102" s="18" t="str">
        <x:v>東京都</x:v>
      </x:c>
      <x:c r="E102" s="18" t="str">
        <x:v>東京</x:v>
      </x:c>
      <x:c r="F102" s="18" t="str">
        <x:v>2025-03-31</x:v>
      </x:c>
      <x:c r="G102" s="18" t="str">
        <x:v>Basic Data Found</x:v>
      </x:c>
      <x:c r="H102" s="18" t="str"/>
      <x:c r="I102" s="18" t="str">
        <x:v>https://www.aosyn.co.jp/about/disclosure.html</x:v>
      </x:c>
      <x:c r="J102" s="18" t="str">
        <x:v>https://www.shinkin-central-bank.jp/cgi-bin/s/index.cgi</x:v>
      </x:c>
      <x:c r="K102" s="52" t="n">
        <x:v>1358</x:v>
      </x:c>
      <x:c r="L102" s="60" t="n">
        <x:v>918238</x:v>
      </x:c>
      <x:c r="M102" s="60" t="n">
        <x:v>532244</x:v>
      </x:c>
      <x:c r="N102" s="63" t="n">
        <x:f>IFERROR(M102/L102,"")</x:f>
        <x:v>0.579636216318645</x:v>
      </x:c>
      <x:c r="O102" s="62" t="n">
        <x:v>0.132</x:v>
      </x:c>
      <x:c r="P102" s="62" t="n">
        <x:v>0.0382</x:v>
      </x:c>
      <x:c r="Q102" s="52" t="str">
        <x:v>https://www.fsa.go.jp/policy/chusho/shihyou.html</x:v>
      </x:c>
    </x:row>
    <x:row r="103">
      <x:c r="A103" s="18" t="n">
        <x:v>102</x:v>
      </x:c>
      <x:c r="B103" s="18" t="str">
        <x:v>多摩信用金庫</x:v>
      </x:c>
      <x:c r="C103" s="18" t="str">
        <x:v>多摩</x:v>
      </x:c>
      <x:c r="D103" s="18" t="str">
        <x:v>東京都</x:v>
      </x:c>
      <x:c r="E103" s="18" t="str">
        <x:v>東京</x:v>
      </x:c>
      <x:c r="F103" s="18" t="str">
        <x:v>2025-03-31</x:v>
      </x:c>
      <x:c r="G103" s="18" t="str">
        <x:v>Basic Data Found</x:v>
      </x:c>
      <x:c r="H103" s="18" t="str"/>
      <x:c r="I103" s="18" t="str">
        <x:v>https://www.tamashin.jp/about/disclosure.html</x:v>
      </x:c>
      <x:c r="J103" s="18" t="str">
        <x:v>https://www.shinkin-central-bank.jp/cgi-bin/s/index.cgi</x:v>
      </x:c>
      <x:c r="K103" s="52" t="n">
        <x:v>1360</x:v>
      </x:c>
      <x:c r="L103" s="60" t="n">
        <x:v>3274207</x:v>
      </x:c>
      <x:c r="M103" s="60" t="n">
        <x:v>1196725</x:v>
      </x:c>
      <x:c r="N103" s="63" t="n">
        <x:f>IFERROR(M103/L103,"")</x:f>
        <x:v>0.365500715134993</x:v>
      </x:c>
      <x:c r="O103" s="62" t="n">
        <x:v>0.08650000000000001</x:v>
      </x:c>
      <x:c r="P103" s="62" t="n">
        <x:v>0.0547</x:v>
      </x:c>
      <x:c r="Q103" s="52" t="str">
        <x:v>https://www.fsa.go.jp/policy/chusho/shihyou.html</x:v>
      </x:c>
    </x:row>
    <x:row r="104">
      <x:c r="A104" s="18" t="n">
        <x:v>103</x:v>
      </x:c>
      <x:c r="B104" s="18" t="str">
        <x:v>新潟信用金庫</x:v>
      </x:c>
      <x:c r="C104" s="18" t="str">
        <x:v>新潟</x:v>
      </x:c>
      <x:c r="D104" s="18" t="str">
        <x:v>新潟県</x:v>
      </x:c>
      <x:c r="E104" s="18" t="str">
        <x:v>北陸・甲信越</x:v>
      </x:c>
      <x:c r="F104" s="18" t="str">
        <x:v>2025-03-31</x:v>
      </x:c>
      <x:c r="G104" s="18" t="str">
        <x:v>Basic Data Found</x:v>
      </x:c>
      <x:c r="H104" s="18" t="str"/>
      <x:c r="I104" s="18" t="str">
        <x:v>https://www.niigata-shinkin.co.jp/info/disclosure/</x:v>
      </x:c>
      <x:c r="J104" s="18" t="str">
        <x:v>https://www.shinkin-central-bank.jp/cgi-bin/s/index.cgi</x:v>
      </x:c>
      <x:c r="K104" s="52" t="n">
        <x:v>1370</x:v>
      </x:c>
      <x:c r="L104" s="60" t="n">
        <x:v>297906</x:v>
      </x:c>
      <x:c r="M104" s="60" t="n">
        <x:v>153026</x:v>
      </x:c>
      <x:c r="N104" s="63" t="n">
        <x:f>IFERROR(M104/L104,"")</x:f>
        <x:v>0.5136720979100791</x:v>
      </x:c>
      <x:c r="O104" s="62" t="n">
        <x:v>0.15460000000000002</x:v>
      </x:c>
      <x:c r="P104" s="62" t="n">
        <x:v>0.0232</x:v>
      </x:c>
      <x:c r="Q104" s="52" t="str">
        <x:v>https://www.fsa.go.jp/policy/chusho/shihyou.html</x:v>
      </x:c>
    </x:row>
    <x:row r="105">
      <x:c r="A105" s="18" t="n">
        <x:v>104</x:v>
      </x:c>
      <x:c r="B105" s="18" t="str">
        <x:v>長岡信用金庫</x:v>
      </x:c>
      <x:c r="C105" s="18" t="str">
        <x:v>長岡</x:v>
      </x:c>
      <x:c r="D105" s="18" t="str">
        <x:v>新潟県</x:v>
      </x:c>
      <x:c r="E105" s="18" t="str">
        <x:v>北陸・甲信越</x:v>
      </x:c>
      <x:c r="F105" s="18" t="str">
        <x:v>2025-03-31</x:v>
      </x:c>
      <x:c r="G105" s="18" t="str">
        <x:v>Basic Data Found</x:v>
      </x:c>
      <x:c r="H105" s="18" t="str"/>
      <x:c r="I105" s="18" t="str">
        <x:v>https://www.shinkin.co.jp/nagaoka/about/information/disclosure.html</x:v>
      </x:c>
      <x:c r="J105" s="18" t="str">
        <x:v>https://www.shinkin-central-bank.jp/cgi-bin/s/index.cgi</x:v>
      </x:c>
      <x:c r="K105" s="52" t="n">
        <x:v>1371</x:v>
      </x:c>
      <x:c r="L105" s="60" t="n">
        <x:v>220241</x:v>
      </x:c>
      <x:c r="M105" s="60" t="n">
        <x:v>88956</x:v>
      </x:c>
      <x:c r="N105" s="63" t="n">
        <x:f>IFERROR(M105/L105,"")</x:f>
        <x:v>0.40390299717128053</x:v>
      </x:c>
      <x:c r="O105" s="62" t="n">
        <x:v>0.1586</x:v>
      </x:c>
      <x:c r="P105" s="62" t="n">
        <x:v>0.0458</x:v>
      </x:c>
      <x:c r="Q105" s="52" t="str">
        <x:v>https://www.fsa.go.jp/policy/chusho/shihyou.html</x:v>
      </x:c>
    </x:row>
    <x:row r="106">
      <x:c r="A106" s="18" t="n">
        <x:v>105</x:v>
      </x:c>
      <x:c r="B106" s="18" t="str">
        <x:v>三条信用金庫</x:v>
      </x:c>
      <x:c r="C106" s="18" t="str">
        <x:v>三条</x:v>
      </x:c>
      <x:c r="D106" s="18" t="str">
        <x:v>新潟県</x:v>
      </x:c>
      <x:c r="E106" s="18" t="str">
        <x:v>北陸・甲信越</x:v>
      </x:c>
      <x:c r="F106" s="18" t="str">
        <x:v>2025-03-31</x:v>
      </x:c>
      <x:c r="G106" s="18" t="str">
        <x:v>Basic Data Found</x:v>
      </x:c>
      <x:c r="H106" s="18" t="str"/>
      <x:c r="I106" s="18" t="str">
        <x:v>https://www.shinkin.co.jp/sanshin/about/#al-dis</x:v>
      </x:c>
      <x:c r="J106" s="18" t="str">
        <x:v>https://www.shinkin-central-bank.jp/cgi-bin/s/index.cgi</x:v>
      </x:c>
      <x:c r="K106" s="52" t="n">
        <x:v>1373</x:v>
      </x:c>
      <x:c r="L106" s="60" t="n">
        <x:v>488092</x:v>
      </x:c>
      <x:c r="M106" s="60" t="n">
        <x:v>226929</x:v>
      </x:c>
      <x:c r="N106" s="63" t="n">
        <x:f>IFERROR(M106/L106,"")</x:f>
        <x:v>0.4649307917359842</x:v>
      </x:c>
      <x:c r="O106" s="62" t="n">
        <x:v>0.1558</x:v>
      </x:c>
      <x:c r="P106" s="62" t="n">
        <x:v>0.050199999999999995</x:v>
      </x:c>
      <x:c r="Q106" s="52" t="str">
        <x:v>https://www.fsa.go.jp/policy/chusho/shihyou.html</x:v>
      </x:c>
    </x:row>
    <x:row r="107">
      <x:c r="A107" s="18" t="n">
        <x:v>106</x:v>
      </x:c>
      <x:c r="B107" s="18" t="str">
        <x:v>新発田信用金庫</x:v>
      </x:c>
      <x:c r="C107" s="18" t="str">
        <x:v>新発田</x:v>
      </x:c>
      <x:c r="D107" s="18" t="str">
        <x:v>新潟県</x:v>
      </x:c>
      <x:c r="E107" s="18" t="str">
        <x:v>北陸・甲信越</x:v>
      </x:c>
      <x:c r="F107" s="18" t="str">
        <x:v>2025-03-31</x:v>
      </x:c>
      <x:c r="G107" s="18" t="str">
        <x:v>Basic Data Found</x:v>
      </x:c>
      <x:c r="H107" s="18" t="str"/>
      <x:c r="I107" s="18" t="str">
        <x:v>https://www.shibata-shinkin.co.jp/toushinkinn/disc/</x:v>
      </x:c>
      <x:c r="J107" s="18" t="str">
        <x:v>https://www.shinkin-central-bank.jp/cgi-bin/s/index.cgi</x:v>
      </x:c>
      <x:c r="K107" s="52" t="n">
        <x:v>1374</x:v>
      </x:c>
      <x:c r="L107" s="60" t="n">
        <x:v>89371</x:v>
      </x:c>
      <x:c r="M107" s="60" t="n">
        <x:v>39491</x:v>
      </x:c>
      <x:c r="N107" s="63" t="n">
        <x:f>IFERROR(M107/L107,"")</x:f>
        <x:v>0.44187711897595416</x:v>
      </x:c>
      <x:c r="O107" s="62" t="n">
        <x:v>0.1884</x:v>
      </x:c>
      <x:c r="P107" s="62" t="n">
        <x:v>0.0703</x:v>
      </x:c>
      <x:c r="Q107" s="52" t="str">
        <x:v>https://www.fsa.go.jp/policy/chusho/shihyou.html</x:v>
      </x:c>
    </x:row>
    <x:row r="108">
      <x:c r="A108" s="18" t="n">
        <x:v>107</x:v>
      </x:c>
      <x:c r="B108" s="18" t="str">
        <x:v>柏崎信用金庫</x:v>
      </x:c>
      <x:c r="C108" s="18" t="str">
        <x:v>柏崎</x:v>
      </x:c>
      <x:c r="D108" s="18" t="str">
        <x:v>新潟県</x:v>
      </x:c>
      <x:c r="E108" s="18" t="str">
        <x:v>北陸・甲信越</x:v>
      </x:c>
      <x:c r="F108" s="18" t="str">
        <x:v>2025-03-31</x:v>
      </x:c>
      <x:c r="G108" s="18" t="str">
        <x:v>Basic Data Found</x:v>
      </x:c>
      <x:c r="H108" s="18" t="str"/>
      <x:c r="I108" s="18" t="str">
        <x:v>https://www.ksbank.jp/company/report/index.html</x:v>
      </x:c>
      <x:c r="J108" s="18" t="str">
        <x:v>https://www.shinkin-central-bank.jp/cgi-bin/s/index.cgi</x:v>
      </x:c>
      <x:c r="K108" s="52" t="n">
        <x:v>1375</x:v>
      </x:c>
      <x:c r="L108" s="60" t="n">
        <x:v>101220</x:v>
      </x:c>
      <x:c r="M108" s="60" t="n">
        <x:v>48429</x:v>
      </x:c>
      <x:c r="N108" s="63" t="n">
        <x:f>IFERROR(M108/L108,"")</x:f>
        <x:v>0.478452874925904</x:v>
      </x:c>
      <x:c r="O108" s="62" t="n">
        <x:v>0.1313</x:v>
      </x:c>
      <x:c r="P108" s="62" t="n">
        <x:v>0.0179</x:v>
      </x:c>
      <x:c r="Q108" s="52" t="str">
        <x:v>https://www.fsa.go.jp/policy/chusho/shihyou.html</x:v>
      </x:c>
    </x:row>
    <x:row r="109">
      <x:c r="A109" s="18" t="n">
        <x:v>108</x:v>
      </x:c>
      <x:c r="B109" s="18" t="str">
        <x:v>上越信用金庫</x:v>
      </x:c>
      <x:c r="C109" s="18" t="str">
        <x:v>上越</x:v>
      </x:c>
      <x:c r="D109" s="18" t="str">
        <x:v>新潟県</x:v>
      </x:c>
      <x:c r="E109" s="18" t="str">
        <x:v>北陸・甲信越</x:v>
      </x:c>
      <x:c r="F109" s="18" t="str">
        <x:v>2025-03-31</x:v>
      </x:c>
      <x:c r="G109" s="18" t="str">
        <x:v>IRRBB Found</x:v>
      </x:c>
      <x:c r="H109" s="18" t="str"/>
      <x:c r="I109" s="18" t="str">
        <x:v>https:www.joetsu-shinkin.jp/about/disclosure.html</x:v>
      </x:c>
      <x:c r="J109" s="18" t="str">
        <x:v>https://www.shinkin-central-bank.jp/cgi-bin/s/index.cgi</x:v>
      </x:c>
      <x:c r="K109" s="52" t="n">
        <x:v>1376</x:v>
      </x:c>
      <x:c r="L109" s="60" t="n">
        <x:v>219537</x:v>
      </x:c>
      <x:c r="M109" s="60" t="n">
        <x:v>73913</x:v>
      </x:c>
      <x:c r="N109" s="63" t="n">
        <x:f>IFERROR(M109/L109,"")</x:f>
        <x:v>0.3366767333069141</x:v>
      </x:c>
      <x:c r="O109" s="62" t="n">
        <x:v>0.1304</x:v>
      </x:c>
      <x:c r="P109" s="62" t="n">
        <x:v>0.06509999999999999</x:v>
      </x:c>
      <x:c r="Q109" s="52" t="str">
        <x:v>https://www.fsa.go.jp/policy/chusho/shihyou.html</x:v>
      </x:c>
    </x:row>
    <x:row r="110">
      <x:c r="A110" s="18" t="n">
        <x:v>109</x:v>
      </x:c>
      <x:c r="B110" s="18" t="str">
        <x:v>新井信用金庫</x:v>
      </x:c>
      <x:c r="C110" s="18" t="str">
        <x:v>新井</x:v>
      </x:c>
      <x:c r="D110" s="18" t="str">
        <x:v>新潟県</x:v>
      </x:c>
      <x:c r="E110" s="18" t="str">
        <x:v>北陸・甲信越</x:v>
      </x:c>
      <x:c r="F110" s="18" t="str">
        <x:v>2025-03-31</x:v>
      </x:c>
      <x:c r="G110" s="18" t="str">
        <x:v>Basic Data Found</x:v>
      </x:c>
      <x:c r="H110" s="18" t="str"/>
      <x:c r="I110" s="18" t="str">
        <x:v>http://www.shinkin.co.jp/arai/about/disclosure.html</x:v>
      </x:c>
      <x:c r="J110" s="18" t="str">
        <x:v>https://www.shinkin-central-bank.jp/cgi-bin/s/index.cgi</x:v>
      </x:c>
      <x:c r="K110" s="52" t="n">
        <x:v>1377</x:v>
      </x:c>
      <x:c r="L110" s="60" t="n">
        <x:v>115984</x:v>
      </x:c>
      <x:c r="M110" s="60" t="n">
        <x:v>42192</x:v>
      </x:c>
      <x:c r="N110" s="63" t="n">
        <x:f>IFERROR(M110/L110,"")</x:f>
        <x:v>0.36377431369844115</x:v>
      </x:c>
      <x:c r="O110" s="62" t="n">
        <x:v>0.1392</x:v>
      </x:c>
      <x:c r="P110" s="62" t="n">
        <x:v>0.052300000000000006</x:v>
      </x:c>
      <x:c r="Q110" s="52" t="str">
        <x:v>https://www.fsa.go.jp/policy/chusho/shihyou.html</x:v>
      </x:c>
    </x:row>
    <x:row r="111">
      <x:c r="A111" s="18" t="n">
        <x:v>110</x:v>
      </x:c>
      <x:c r="B111" s="18" t="str">
        <x:v>村上信用金庫</x:v>
      </x:c>
      <x:c r="C111" s="18" t="str">
        <x:v>村上</x:v>
      </x:c>
      <x:c r="D111" s="18" t="str">
        <x:v>新潟県</x:v>
      </x:c>
      <x:c r="E111" s="18" t="str">
        <x:v>北陸・甲信越</x:v>
      </x:c>
      <x:c r="F111" s="18" t="str">
        <x:v>2025-03-31</x:v>
      </x:c>
      <x:c r="G111" s="18" t="str">
        <x:v>Basic Data Found</x:v>
      </x:c>
      <x:c r="H111" s="18" t="str"/>
      <x:c r="I111" s="18" t="str">
        <x:v>https://www.murakami-shinkin.com/about/disclosure/index.html</x:v>
      </x:c>
      <x:c r="J111" s="18" t="str">
        <x:v>https://www.shinkin-central-bank.jp/cgi-bin/s/index.cgi</x:v>
      </x:c>
      <x:c r="K111" s="52" t="n">
        <x:v>1379</x:v>
      </x:c>
      <x:c r="L111" s="60" t="n">
        <x:v>85458</x:v>
      </x:c>
      <x:c r="M111" s="60" t="n">
        <x:v>36977</x:v>
      </x:c>
      <x:c r="N111" s="63" t="n">
        <x:f>IFERROR(M111/L111,"")</x:f>
        <x:v>0.4326920826604882</x:v>
      </x:c>
      <x:c r="O111" s="62" t="n">
        <x:v>0.2115</x:v>
      </x:c>
      <x:c r="P111" s="62" t="n">
        <x:v>0.06860000000000001</x:v>
      </x:c>
      <x:c r="Q111" s="52" t="str">
        <x:v>https://www.fsa.go.jp/policy/chusho/shihyou.html</x:v>
      </x:c>
    </x:row>
    <x:row r="112">
      <x:c r="A112" s="18" t="n">
        <x:v>111</x:v>
      </x:c>
      <x:c r="B112" s="18" t="str">
        <x:v>加茂信用金庫</x:v>
      </x:c>
      <x:c r="C112" s="18" t="str">
        <x:v>加茂</x:v>
      </x:c>
      <x:c r="D112" s="18" t="str">
        <x:v>新潟県</x:v>
      </x:c>
      <x:c r="E112" s="18" t="str">
        <x:v>北陸・甲信越</x:v>
      </x:c>
      <x:c r="F112" s="18" t="str">
        <x:v>2025-03-31</x:v>
      </x:c>
      <x:c r="G112" s="18" t="str">
        <x:v>Basic Data Found</x:v>
      </x:c>
      <x:c r="H112" s="18" t="str"/>
      <x:c r="I112" s="18" t="str">
        <x:v>https://www.shinkin.co.jp/kamo/about/disclosure.php</x:v>
      </x:c>
      <x:c r="J112" s="18" t="str">
        <x:v>https://www.shinkin-central-bank.jp/cgi-bin/s/index.cgi</x:v>
      </x:c>
      <x:c r="K112" s="52" t="n">
        <x:v>1380</x:v>
      </x:c>
      <x:c r="L112" s="60" t="n">
        <x:v>84013</x:v>
      </x:c>
      <x:c r="M112" s="60" t="n">
        <x:v>33076</x:v>
      </x:c>
      <x:c r="N112" s="63" t="n">
        <x:f>IFERROR(M112/L112,"")</x:f>
        <x:v>0.39370097484913047</x:v>
      </x:c>
      <x:c r="O112" s="62" t="n">
        <x:v>0.1426</x:v>
      </x:c>
      <x:c r="P112" s="62" t="n">
        <x:v>0.0576</x:v>
      </x:c>
      <x:c r="Q112" s="52" t="str">
        <x:v>https://www.fsa.go.jp/policy/chusho/shihyou.html</x:v>
      </x:c>
    </x:row>
    <x:row r="113">
      <x:c r="A113" s="18" t="n">
        <x:v>112</x:v>
      </x:c>
      <x:c r="B113" s="18" t="str">
        <x:v>甲府信用金庫</x:v>
      </x:c>
      <x:c r="C113" s="18" t="str">
        <x:v>甲府</x:v>
      </x:c>
      <x:c r="D113" s="18" t="str">
        <x:v>山梨県</x:v>
      </x:c>
      <x:c r="E113" s="18" t="str">
        <x:v>北陸・甲信越</x:v>
      </x:c>
      <x:c r="F113" s="18" t="str">
        <x:v>2025-03-31</x:v>
      </x:c>
      <x:c r="G113" s="18" t="str">
        <x:v>Basic Data Found</x:v>
      </x:c>
      <x:c r="H113" s="18" t="str"/>
      <x:c r="I113" s="18" t="str">
        <x:v>https://www.kofushinkin.co.jp/12profile/disclosure.html</x:v>
      </x:c>
      <x:c r="J113" s="18" t="str">
        <x:v>https://www.shinkin-central-bank.jp/cgi-bin/s/index.cgi</x:v>
      </x:c>
      <x:c r="K113" s="52" t="n">
        <x:v>1385</x:v>
      </x:c>
      <x:c r="L113" s="60" t="n">
        <x:v>538891</x:v>
      </x:c>
      <x:c r="M113" s="60" t="n">
        <x:v>229626</x:v>
      </x:c>
      <x:c r="N113" s="63" t="n">
        <x:f>IFERROR(M113/L113,"")</x:f>
        <x:v>0.4261084338020119</x:v>
      </x:c>
      <x:c r="O113" s="62" t="n">
        <x:v>0.1905</x:v>
      </x:c>
      <x:c r="P113" s="62" t="n">
        <x:v>0.0482</x:v>
      </x:c>
      <x:c r="Q113" s="52" t="str">
        <x:v>https://www.fsa.go.jp/policy/chusho/shihyou.html</x:v>
      </x:c>
    </x:row>
    <x:row r="114">
      <x:c r="A114" s="18" t="n">
        <x:v>113</x:v>
      </x:c>
      <x:c r="B114" s="18" t="str">
        <x:v>山梨信用金庫</x:v>
      </x:c>
      <x:c r="C114" s="18" t="str">
        <x:v>山梨</x:v>
      </x:c>
      <x:c r="D114" s="18" t="str">
        <x:v>山梨県</x:v>
      </x:c>
      <x:c r="E114" s="18" t="str">
        <x:v>北陸・甲信越</x:v>
      </x:c>
      <x:c r="F114" s="18" t="str">
        <x:v>2025-03-31</x:v>
      </x:c>
      <x:c r="G114" s="18" t="str">
        <x:v>Basic Data Found</x:v>
      </x:c>
      <x:c r="H114" s="18" t="str"/>
      <x:c r="I114" s="18" t="str">
        <x:v>https://www.yamasin.jp/about/disclosure.html</x:v>
      </x:c>
      <x:c r="J114" s="18" t="str">
        <x:v>https://www.shinkin-central-bank.jp/cgi-bin/s/index.cgi</x:v>
      </x:c>
      <x:c r="K114" s="52" t="n">
        <x:v>1386</x:v>
      </x:c>
      <x:c r="L114" s="60" t="n">
        <x:v>480637</x:v>
      </x:c>
      <x:c r="M114" s="60" t="n">
        <x:v>187704</x:v>
      </x:c>
      <x:c r="N114" s="63" t="n">
        <x:f>IFERROR(M114/L114,"")</x:f>
        <x:v>0.3905317318475273</x:v>
      </x:c>
      <x:c r="O114" s="62" t="n">
        <x:v>0.1391</x:v>
      </x:c>
      <x:c r="P114" s="62" t="n">
        <x:v>0.0529</x:v>
      </x:c>
      <x:c r="Q114" s="52" t="str">
        <x:v>https://www.fsa.go.jp/policy/chusho/shihyou.html</x:v>
      </x:c>
    </x:row>
    <x:row r="115">
      <x:c r="A115" s="18" t="n">
        <x:v>114</x:v>
      </x:c>
      <x:c r="B115" s="18" t="str">
        <x:v>長野信用金庫</x:v>
      </x:c>
      <x:c r="C115" s="18" t="str">
        <x:v>長野</x:v>
      </x:c>
      <x:c r="D115" s="18" t="str">
        <x:v>長野県</x:v>
      </x:c>
      <x:c r="E115" s="18" t="str">
        <x:v>北陸・甲信越</x:v>
      </x:c>
      <x:c r="F115" s="18" t="str">
        <x:v>2025-03-31</x:v>
      </x:c>
      <x:c r="G115" s="18" t="str">
        <x:v>Basic Data Found</x:v>
      </x:c>
      <x:c r="H115" s="18" t="str"/>
      <x:c r="I115" s="18" t="str">
        <x:v>https://www.nagano-shinkin.jp/about/outline/disclosure/</x:v>
      </x:c>
      <x:c r="J115" s="18" t="str">
        <x:v>https://www.shinkin-central-bank.jp/cgi-bin/s/index.cgi</x:v>
      </x:c>
      <x:c r="K115" s="52" t="n">
        <x:v>1390</x:v>
      </x:c>
      <x:c r="L115" s="60" t="n">
        <x:v>885895</x:v>
      </x:c>
      <x:c r="M115" s="60" t="n">
        <x:v>361937</x:v>
      </x:c>
      <x:c r="N115" s="63" t="n">
        <x:f>IFERROR(M115/L115,"")</x:f>
        <x:v>0.40855518994914747</x:v>
      </x:c>
      <x:c r="O115" s="62" t="n">
        <x:v>0.2227</x:v>
      </x:c>
      <x:c r="P115" s="62" t="n">
        <x:v>0.0603</x:v>
      </x:c>
      <x:c r="Q115" s="52" t="str">
        <x:v>https://www.fsa.go.jp/policy/chusho/shihyou.html</x:v>
      </x:c>
    </x:row>
    <x:row r="116">
      <x:c r="A116" s="18" t="n">
        <x:v>115</x:v>
      </x:c>
      <x:c r="B116" s="18" t="str">
        <x:v>松本信用金庫</x:v>
      </x:c>
      <x:c r="C116" s="18" t="str">
        <x:v>松本</x:v>
      </x:c>
      <x:c r="D116" s="18" t="str">
        <x:v>長野県</x:v>
      </x:c>
      <x:c r="E116" s="18" t="str">
        <x:v>北陸・甲信越</x:v>
      </x:c>
      <x:c r="F116" s="18" t="str">
        <x:v>2025-03-31</x:v>
      </x:c>
      <x:c r="G116" s="18" t="str">
        <x:v>Basic Data Found</x:v>
      </x:c>
      <x:c r="H116" s="18" t="str"/>
      <x:c r="I116" s="18" t="str">
        <x:v>https://www.matsumoto-shinkin.jp/kinko/disclosure/</x:v>
      </x:c>
      <x:c r="J116" s="18" t="str">
        <x:v>https://www.shinkin-central-bank.jp/cgi-bin/s/index.cgi</x:v>
      </x:c>
      <x:c r="K116" s="52" t="n">
        <x:v>1391</x:v>
      </x:c>
      <x:c r="L116" s="60" t="n">
        <x:v>446646</x:v>
      </x:c>
      <x:c r="M116" s="60" t="n">
        <x:v>213905</x:v>
      </x:c>
      <x:c r="N116" s="63" t="n">
        <x:f>IFERROR(M116/L116,"")</x:f>
        <x:v>0.4789139497499138</x:v>
      </x:c>
      <x:c r="O116" s="62" t="n">
        <x:v>0.1394</x:v>
      </x:c>
      <x:c r="P116" s="62" t="n">
        <x:v>0.0565</x:v>
      </x:c>
      <x:c r="Q116" s="52" t="str">
        <x:v>https://www.fsa.go.jp/policy/chusho/shihyou.html</x:v>
      </x:c>
    </x:row>
    <x:row r="117">
      <x:c r="A117" s="18" t="n">
        <x:v>116</x:v>
      </x:c>
      <x:c r="B117" s="18" t="str">
        <x:v>上田信用金庫</x:v>
      </x:c>
      <x:c r="C117" s="18" t="str">
        <x:v>上田</x:v>
      </x:c>
      <x:c r="D117" s="18" t="str">
        <x:v>長野県</x:v>
      </x:c>
      <x:c r="E117" s="18" t="str">
        <x:v>北陸・甲信越</x:v>
      </x:c>
      <x:c r="F117" s="18" t="str">
        <x:v>2025-03-31</x:v>
      </x:c>
      <x:c r="G117" s="18" t="str">
        <x:v>Basic Data Found</x:v>
      </x:c>
      <x:c r="H117" s="18" t="str"/>
      <x:c r="I117" s="18" t="str">
        <x:v>https://www.shinkin.co.jp/ueda/individual/about/</x:v>
      </x:c>
      <x:c r="J117" s="18" t="str">
        <x:v>https://www.shinkin-central-bank.jp/cgi-bin/s/index.cgi</x:v>
      </x:c>
      <x:c r="K117" s="52" t="n">
        <x:v>1392</x:v>
      </x:c>
      <x:c r="L117" s="60" t="n">
        <x:v>291423</x:v>
      </x:c>
      <x:c r="M117" s="60" t="n">
        <x:v>152430</x:v>
      </x:c>
      <x:c r="N117" s="63" t="n">
        <x:f>IFERROR(M117/L117,"")</x:f>
        <x:v>0.5230541172110643</x:v>
      </x:c>
      <x:c r="O117" s="62" t="n">
        <x:v>0.17149999999999999</x:v>
      </x:c>
      <x:c r="P117" s="62" t="n">
        <x:v>0.027999999999999997</x:v>
      </x:c>
      <x:c r="Q117" s="52" t="str">
        <x:v>https://www.fsa.go.jp/policy/chusho/shihyou.html</x:v>
      </x:c>
    </x:row>
    <x:row r="118">
      <x:c r="A118" s="18" t="n">
        <x:v>117</x:v>
      </x:c>
      <x:c r="B118" s="18" t="str">
        <x:v>諏訪信用金庫</x:v>
      </x:c>
      <x:c r="C118" s="18" t="str">
        <x:v>諏訪</x:v>
      </x:c>
      <x:c r="D118" s="18" t="str">
        <x:v>長野県</x:v>
      </x:c>
      <x:c r="E118" s="18" t="str">
        <x:v>北陸・甲信越</x:v>
      </x:c>
      <x:c r="F118" s="18" t="str">
        <x:v>2025-03-31</x:v>
      </x:c>
      <x:c r="G118" s="18" t="str">
        <x:v>Basic Data Found</x:v>
      </x:c>
      <x:c r="H118" s="18" t="str"/>
      <x:c r="I118" s="18" t="str">
        <x:v>https://www.suwashinkin.co.jp/kinko/disclosure/index.php</x:v>
      </x:c>
      <x:c r="J118" s="18" t="str">
        <x:v>https://www.shinkin-central-bank.jp/cgi-bin/s/index.cgi</x:v>
      </x:c>
      <x:c r="K118" s="52" t="n">
        <x:v>1393</x:v>
      </x:c>
      <x:c r="L118" s="60" t="n">
        <x:v>421201</x:v>
      </x:c>
      <x:c r="M118" s="60" t="n">
        <x:v>193409</x:v>
      </x:c>
      <x:c r="N118" s="63" t="n">
        <x:f>IFERROR(M118/L118,"")</x:f>
        <x:v>0.4591845698372036</x:v>
      </x:c>
      <x:c r="O118" s="62" t="n">
        <x:v>0.2391</x:v>
      </x:c>
      <x:c r="P118" s="62" t="n">
        <x:v>0.0316</x:v>
      </x:c>
      <x:c r="Q118" s="52" t="str">
        <x:v>https://www.fsa.go.jp/policy/chusho/shihyou.html</x:v>
      </x:c>
    </x:row>
    <x:row r="119">
      <x:c r="A119" s="18" t="n">
        <x:v>118</x:v>
      </x:c>
      <x:c r="B119" s="18" t="str">
        <x:v>飯田信用金庫</x:v>
      </x:c>
      <x:c r="C119" s="18" t="str">
        <x:v>飯田</x:v>
      </x:c>
      <x:c r="D119" s="18" t="str">
        <x:v>長野県</x:v>
      </x:c>
      <x:c r="E119" s="18" t="str">
        <x:v>北陸・甲信越</x:v>
      </x:c>
      <x:c r="F119" s="18" t="str">
        <x:v>2025-03-31</x:v>
      </x:c>
      <x:c r="G119" s="18" t="str">
        <x:v>Basic Data Found</x:v>
      </x:c>
      <x:c r="H119" s="18" t="str"/>
      <x:c r="I119" s="18" t="str">
        <x:v>https://www.iidashinkin.co.jp/company/disclosure/</x:v>
      </x:c>
      <x:c r="J119" s="18" t="str">
        <x:v>https://www.shinkin-central-bank.jp/cgi-bin/s/index.cgi</x:v>
      </x:c>
      <x:c r="K119" s="52" t="n">
        <x:v>1394</x:v>
      </x:c>
      <x:c r="L119" s="60" t="n">
        <x:v>612859</x:v>
      </x:c>
      <x:c r="M119" s="60" t="n">
        <x:v>267587</x:v>
      </x:c>
      <x:c r="N119" s="63" t="n">
        <x:f>IFERROR(M119/L119,"")</x:f>
        <x:v>0.43662082142874625</x:v>
      </x:c>
      <x:c r="O119" s="62" t="n">
        <x:v>0.2096</x:v>
      </x:c>
      <x:c r="P119" s="62" t="n">
        <x:v>0.06860000000000001</x:v>
      </x:c>
      <x:c r="Q119" s="52" t="str">
        <x:v>https://www.fsa.go.jp/policy/chusho/shihyou.html</x:v>
      </x:c>
    </x:row>
    <x:row r="120">
      <x:c r="A120" s="18" t="n">
        <x:v>119</x:v>
      </x:c>
      <x:c r="B120" s="18" t="str">
        <x:v>アルプス中央信用金庫</x:v>
      </x:c>
      <x:c r="C120" s="18" t="str">
        <x:v>アルプス中央</x:v>
      </x:c>
      <x:c r="D120" s="18" t="str">
        <x:v>長野県</x:v>
      </x:c>
      <x:c r="E120" s="18" t="str">
        <x:v>北陸・甲信越</x:v>
      </x:c>
      <x:c r="F120" s="18" t="str">
        <x:v>2025-03-31</x:v>
      </x:c>
      <x:c r="G120" s="18" t="str">
        <x:v>Basic Data Found</x:v>
      </x:c>
      <x:c r="H120" s="18" t="str"/>
      <x:c r="I120" s="18" t="str">
        <x:v>https://www.shinkin.co.jp/alshin/kinko/disclosure/</x:v>
      </x:c>
      <x:c r="J120" s="18" t="str">
        <x:v>https://www.shinkin-central-bank.jp/cgi-bin/s/index.cgi</x:v>
      </x:c>
      <x:c r="K120" s="52" t="n">
        <x:v>1396</x:v>
      </x:c>
      <x:c r="L120" s="60" t="n">
        <x:v>341304</x:v>
      </x:c>
      <x:c r="M120" s="60" t="n">
        <x:v>147382</x:v>
      </x:c>
      <x:c r="N120" s="63" t="n">
        <x:f>IFERROR(M120/L120,"")</x:f>
        <x:v>0.4318203126831212</x:v>
      </x:c>
      <x:c r="O120" s="62" t="n">
        <x:v>0.0956</x:v>
      </x:c>
      <x:c r="P120" s="62" t="n">
        <x:v>0.051399999999999994</x:v>
      </x:c>
      <x:c r="Q120" s="52" t="str">
        <x:v>https://www.fsa.go.jp/policy/chusho/shihyou.html</x:v>
      </x:c>
    </x:row>
    <x:row r="121">
      <x:c r="A121" s="18" t="n">
        <x:v>120</x:v>
      </x:c>
      <x:c r="B121" s="18" t="str">
        <x:v>富山信用金庫</x:v>
      </x:c>
      <x:c r="C121" s="18" t="str">
        <x:v>富山</x:v>
      </x:c>
      <x:c r="D121" s="18" t="str">
        <x:v>富山県</x:v>
      </x:c>
      <x:c r="E121" s="18" t="str">
        <x:v>北陸・甲信越</x:v>
      </x:c>
      <x:c r="F121" s="18" t="str">
        <x:v>2025-03-31</x:v>
      </x:c>
      <x:c r="G121" s="18" t="str">
        <x:v>Basic Data Found</x:v>
      </x:c>
      <x:c r="H121" s="18" t="str"/>
      <x:c r="I121" s="18" t="str">
        <x:v>https://www.shinkin.co.jp/tomishin/about/disclosure.html</x:v>
      </x:c>
      <x:c r="J121" s="18" t="str">
        <x:v>https://www.shinkin-central-bank.jp/cgi-bin/s/index.cgi</x:v>
      </x:c>
      <x:c r="K121" s="52" t="n">
        <x:v>1401</x:v>
      </x:c>
      <x:c r="L121" s="60" t="n">
        <x:v>437951</x:v>
      </x:c>
      <x:c r="M121" s="60" t="n">
        <x:v>206643</x:v>
      </x:c>
      <x:c r="N121" s="63" t="n">
        <x:f>IFERROR(M121/L121,"")</x:f>
        <x:v>0.4718404570374311</x:v>
      </x:c>
      <x:c r="O121" s="62" t="n">
        <x:v>0.1594</x:v>
      </x:c>
      <x:c r="P121" s="62" t="n">
        <x:v>0.0323</x:v>
      </x:c>
      <x:c r="Q121" s="52" t="str">
        <x:v>https://www.fsa.go.jp/policy/chusho/shihyou.html</x:v>
      </x:c>
    </x:row>
    <x:row r="122">
      <x:c r="A122" s="18" t="n">
        <x:v>121</x:v>
      </x:c>
      <x:c r="B122" s="18" t="str">
        <x:v>高岡信用金庫</x:v>
      </x:c>
      <x:c r="C122" s="18" t="str">
        <x:v>高岡</x:v>
      </x:c>
      <x:c r="D122" s="18" t="str">
        <x:v>富山県</x:v>
      </x:c>
      <x:c r="E122" s="18" t="str">
        <x:v>北陸・甲信越</x:v>
      </x:c>
      <x:c r="F122" s="18" t="str">
        <x:v>2025-03-31</x:v>
      </x:c>
      <x:c r="G122" s="18" t="str">
        <x:v>Basic Data Found</x:v>
      </x:c>
      <x:c r="H122" s="18" t="str"/>
      <x:c r="I122" s="18" t="str">
        <x:v>https://www.shinkin.co.jp/takaoka/about/disc.html</x:v>
      </x:c>
      <x:c r="J122" s="18" t="str">
        <x:v>https://www.shinkin-central-bank.jp/cgi-bin/s/index.cgi</x:v>
      </x:c>
      <x:c r="K122" s="52" t="n">
        <x:v>1402</x:v>
      </x:c>
      <x:c r="L122" s="60" t="n">
        <x:v>383917</x:v>
      </x:c>
      <x:c r="M122" s="60" t="n">
        <x:v>185315</x:v>
      </x:c>
      <x:c r="N122" s="63" t="n">
        <x:f>IFERROR(M122/L122,"")</x:f>
        <x:v>0.48269547844976907</x:v>
      </x:c>
      <x:c r="O122" s="62" t="n">
        <x:v>0.13140000000000002</x:v>
      </x:c>
      <x:c r="P122" s="62" t="n">
        <x:v>0.057</x:v>
      </x:c>
      <x:c r="Q122" s="52" t="str">
        <x:v>https://www.fsa.go.jp/policy/chusho/shihyou.html</x:v>
      </x:c>
    </x:row>
    <x:row r="123">
      <x:c r="A123" s="18" t="n">
        <x:v>122</x:v>
      </x:c>
      <x:c r="B123" s="18" t="str">
        <x:v>新湊信用金庫</x:v>
      </x:c>
      <x:c r="C123" s="18" t="str">
        <x:v>新湊</x:v>
      </x:c>
      <x:c r="D123" s="18" t="str">
        <x:v>富山県</x:v>
      </x:c>
      <x:c r="E123" s="18" t="str">
        <x:v>北陸・甲信越</x:v>
      </x:c>
      <x:c r="F123" s="18" t="str">
        <x:v>2025-03-31</x:v>
      </x:c>
      <x:c r="G123" s="18" t="str">
        <x:v>IRRBB Found</x:v>
      </x:c>
      <x:c r="H123" s="18" t="str"/>
      <x:c r="I123" s="18" t="str">
        <x:v>http://www.shinkin.co.jp/s-minato/</x:v>
      </x:c>
      <x:c r="J123" s="18" t="str">
        <x:v>https://www.shinkin-central-bank.jp/cgi-bin/s/index.cgi</x:v>
      </x:c>
      <x:c r="K123" s="52" t="n">
        <x:v>1404</x:v>
      </x:c>
      <x:c r="L123" s="60" t="n">
        <x:v>87114</x:v>
      </x:c>
      <x:c r="M123" s="60" t="n">
        <x:v>28412</x:v>
      </x:c>
      <x:c r="N123" s="63" t="n">
        <x:f>IFERROR(M123/L123,"")</x:f>
        <x:v>0.32614734715430355</x:v>
      </x:c>
      <x:c r="O123" s="62" t="n">
        <x:v>0.10949999999999999</x:v>
      </x:c>
      <x:c r="P123" s="62" t="n">
        <x:v>0.0475</x:v>
      </x:c>
      <x:c r="Q123" s="52" t="str">
        <x:v>https://www.fsa.go.jp/policy/chusho/shihyou.html</x:v>
      </x:c>
    </x:row>
    <x:row r="124">
      <x:c r="A124" s="18" t="n">
        <x:v>123</x:v>
      </x:c>
      <x:c r="B124" s="18" t="str">
        <x:v>にいかわ信用金庫</x:v>
      </x:c>
      <x:c r="C124" s="18" t="str">
        <x:v>にいかわ</x:v>
      </x:c>
      <x:c r="D124" s="18" t="str">
        <x:v>富山県</x:v>
      </x:c>
      <x:c r="E124" s="18" t="str">
        <x:v>北陸・甲信越</x:v>
      </x:c>
      <x:c r="F124" s="18" t="str">
        <x:v>2025-03-31</x:v>
      </x:c>
      <x:c r="G124" s="18" t="str">
        <x:v>Basic Data Found</x:v>
      </x:c>
      <x:c r="H124" s="18" t="str"/>
      <x:c r="I124" s="18" t="str">
        <x:v>https://www.shinkin.co.jp/niikawa/about/disclosure.php</x:v>
      </x:c>
      <x:c r="J124" s="18" t="str">
        <x:v>https://www.shinkin-central-bank.jp/cgi-bin/s/index.cgi</x:v>
      </x:c>
      <x:c r="K124" s="52" t="n">
        <x:v>1405</x:v>
      </x:c>
      <x:c r="L124" s="60" t="n">
        <x:v>172978</x:v>
      </x:c>
      <x:c r="M124" s="60" t="n">
        <x:v>65547</x:v>
      </x:c>
      <x:c r="N124" s="63" t="n">
        <x:f>IFERROR(M124/L124,"")</x:f>
        <x:v>0.37893258102186406</x:v>
      </x:c>
      <x:c r="O124" s="62" t="n">
        <x:v>0.1072</x:v>
      </x:c>
      <x:c r="P124" s="62" t="n">
        <x:v>0.0599</x:v>
      </x:c>
      <x:c r="Q124" s="52" t="str">
        <x:v>https://www.fsa.go.jp/policy/chusho/shihyou.html</x:v>
      </x:c>
    </x:row>
    <x:row r="125">
      <x:c r="A125" s="18" t="n">
        <x:v>124</x:v>
      </x:c>
      <x:c r="B125" s="18" t="str">
        <x:v>氷見伏木信用金庫</x:v>
      </x:c>
      <x:c r="C125" s="18" t="str">
        <x:v>氷見伏木</x:v>
      </x:c>
      <x:c r="D125" s="18" t="str">
        <x:v>富山県</x:v>
      </x:c>
      <x:c r="E125" s="18" t="str">
        <x:v>北陸・甲信越</x:v>
      </x:c>
      <x:c r="F125" s="18" t="str">
        <x:v>2025-03-31</x:v>
      </x:c>
      <x:c r="G125" s="18" t="str">
        <x:v>IRRBB Found</x:v>
      </x:c>
      <x:c r="H125" s="18" t="str"/>
      <x:c r="I125" s="18" t="str">
        <x:v>https://www.shinkin.co.jp/himifusi/aboutus/#disclose</x:v>
      </x:c>
      <x:c r="J125" s="18" t="str">
        <x:v>https://www.shinkin-central-bank.jp/cgi-bin/s/index.cgi</x:v>
      </x:c>
      <x:c r="K125" s="52" t="n">
        <x:v>1406</x:v>
      </x:c>
      <x:c r="L125" s="60" t="n">
        <x:v>102664</x:v>
      </x:c>
      <x:c r="M125" s="60" t="n">
        <x:v>26444</x:v>
      </x:c>
      <x:c r="N125" s="63" t="n">
        <x:f>IFERROR(M125/L125,"")</x:f>
        <x:v>0.2575781189121795</x:v>
      </x:c>
      <x:c r="O125" s="62" t="n">
        <x:v>0.1865</x:v>
      </x:c>
      <x:c r="P125" s="62" t="n">
        <x:v>0.0564</x:v>
      </x:c>
      <x:c r="Q125" s="52" t="str">
        <x:v>https://www.fsa.go.jp/policy/chusho/shihyou.html</x:v>
      </x:c>
    </x:row>
    <x:row r="126">
      <x:c r="A126" s="18" t="n">
        <x:v>125</x:v>
      </x:c>
      <x:c r="B126" s="18" t="str">
        <x:v>砺波信用金庫</x:v>
      </x:c>
      <x:c r="C126" s="18" t="str">
        <x:v>砺波</x:v>
      </x:c>
      <x:c r="D126" s="18" t="str">
        <x:v>富山県</x:v>
      </x:c>
      <x:c r="E126" s="18" t="str">
        <x:v>北陸・甲信越</x:v>
      </x:c>
      <x:c r="F126" s="18" t="str">
        <x:v>2025-03-31</x:v>
      </x:c>
      <x:c r="G126" s="18" t="str">
        <x:v>Basic Data Found</x:v>
      </x:c>
      <x:c r="H126" s="18" t="str"/>
      <x:c r="I126" s="18" t="str">
        <x:v>https://www.tonami-shinkin.co.jp/about/disclosure/2020/</x:v>
      </x:c>
      <x:c r="J126" s="18" t="str">
        <x:v>https://www.shinkin-central-bank.jp/cgi-bin/s/index.cgi</x:v>
      </x:c>
      <x:c r="K126" s="52" t="n">
        <x:v>1412</x:v>
      </x:c>
      <x:c r="L126" s="60" t="n">
        <x:v>83040</x:v>
      </x:c>
      <x:c r="M126" s="60" t="n">
        <x:v>37124</x:v>
      </x:c>
      <x:c r="N126" s="63" t="n">
        <x:f>IFERROR(M126/L126,"")</x:f>
        <x:v>0.4470616570327553</x:v>
      </x:c>
      <x:c r="O126" s="62" t="n">
        <x:v>0.1216</x:v>
      </x:c>
      <x:c r="P126" s="62" t="n">
        <x:v>0.0877</x:v>
      </x:c>
      <x:c r="Q126" s="52" t="str">
        <x:v>https://www.fsa.go.jp/policy/chusho/shihyou.html</x:v>
      </x:c>
    </x:row>
    <x:row r="127">
      <x:c r="A127" s="18" t="n">
        <x:v>126</x:v>
      </x:c>
      <x:c r="B127" s="18" t="str">
        <x:v>石動信用金庫</x:v>
      </x:c>
      <x:c r="C127" s="18" t="str">
        <x:v>石動</x:v>
      </x:c>
      <x:c r="D127" s="18" t="str">
        <x:v>富山県</x:v>
      </x:c>
      <x:c r="E127" s="18" t="str">
        <x:v>北陸・甲信越</x:v>
      </x:c>
      <x:c r="F127" s="18" t="str">
        <x:v>2025-03-31</x:v>
      </x:c>
      <x:c r="G127" s="18" t="str">
        <x:v>Basic Data Found</x:v>
      </x:c>
      <x:c r="H127" s="18" t="str"/>
      <x:c r="I127" s="18" t="str">
        <x:v>https://www.shinkin.co.jp/isurugi/company.html</x:v>
      </x:c>
      <x:c r="J127" s="18" t="str">
        <x:v>https://www.shinkin-central-bank.jp/cgi-bin/s/index.cgi</x:v>
      </x:c>
      <x:c r="K127" s="52" t="n">
        <x:v>1413</x:v>
      </x:c>
      <x:c r="L127" s="60" t="n">
        <x:v>57391</x:v>
      </x:c>
      <x:c r="M127" s="60" t="n">
        <x:v>27749</x:v>
      </x:c>
      <x:c r="N127" s="63" t="n">
        <x:f>IFERROR(M127/L127,"")</x:f>
        <x:v>0.48350786708717397</x:v>
      </x:c>
      <x:c r="O127" s="62" t="n">
        <x:v>0.1575</x:v>
      </x:c>
      <x:c r="P127" s="62" t="n">
        <x:v>0.0489</x:v>
      </x:c>
      <x:c r="Q127" s="52" t="str">
        <x:v>https://www.fsa.go.jp/policy/chusho/shihyou.html</x:v>
      </x:c>
    </x:row>
    <x:row r="128">
      <x:c r="A128" s="18" t="n">
        <x:v>127</x:v>
      </x:c>
      <x:c r="B128" s="18" t="str">
        <x:v>金沢信用金庫</x:v>
      </x:c>
      <x:c r="C128" s="18" t="str">
        <x:v>金沢</x:v>
      </x:c>
      <x:c r="D128" s="18" t="str">
        <x:v>石川県</x:v>
      </x:c>
      <x:c r="E128" s="18" t="str">
        <x:v>北陸・甲信越</x:v>
      </x:c>
      <x:c r="F128" s="18" t="str">
        <x:v>2025-03-31</x:v>
      </x:c>
      <x:c r="G128" s="18" t="str">
        <x:v>Basic Data Found</x:v>
      </x:c>
      <x:c r="H128" s="18" t="str"/>
      <x:c r="I128" s="18" t="str">
        <x:v>https://www.shinkin.co.jp/kanazawa/company/disclosure/</x:v>
      </x:c>
      <x:c r="J128" s="18" t="str">
        <x:v>https://www.shinkin-central-bank.jp/cgi-bin/s/index.cgi</x:v>
      </x:c>
      <x:c r="K128" s="52" t="n">
        <x:v>1440</x:v>
      </x:c>
      <x:c r="L128" s="60" t="n">
        <x:v>485355</x:v>
      </x:c>
      <x:c r="M128" s="60" t="n">
        <x:v>187909</x:v>
      </x:c>
      <x:c r="N128" s="63" t="n">
        <x:f>IFERROR(M128/L128,"")</x:f>
        <x:v>0.3871578535298905</x:v>
      </x:c>
      <x:c r="O128" s="62" t="n">
        <x:v>0.1432</x:v>
      </x:c>
      <x:c r="P128" s="62" t="n">
        <x:v>0.12179999999999999</x:v>
      </x:c>
      <x:c r="Q128" s="52" t="str">
        <x:v>https://www.fsa.go.jp/policy/chusho/shihyou.html</x:v>
      </x:c>
    </x:row>
    <x:row r="129">
      <x:c r="A129" s="18" t="n">
        <x:v>128</x:v>
      </x:c>
      <x:c r="B129" s="18" t="str">
        <x:v>のと共栄信用金庫</x:v>
      </x:c>
      <x:c r="C129" s="18" t="str">
        <x:v>のと共栄</x:v>
      </x:c>
      <x:c r="D129" s="18" t="str">
        <x:v>石川県</x:v>
      </x:c>
      <x:c r="E129" s="18" t="str">
        <x:v>北陸・甲信越</x:v>
      </x:c>
      <x:c r="F129" s="18" t="str">
        <x:v>2025-03-31</x:v>
      </x:c>
      <x:c r="G129" s="18" t="str">
        <x:v>Basic Data Found</x:v>
      </x:c>
      <x:c r="H129" s="18" t="str"/>
      <x:c r="I129" s="18" t="str">
        <x:v>https://www.shinkin.co.jp/notoshin/about/disclosure.php</x:v>
      </x:c>
      <x:c r="J129" s="18" t="str">
        <x:v>https://www.shinkin-central-bank.jp/cgi-bin/s/index.cgi</x:v>
      </x:c>
      <x:c r="K129" s="52" t="n">
        <x:v>1442</x:v>
      </x:c>
      <x:c r="L129" s="60" t="n">
        <x:v>338033</x:v>
      </x:c>
      <x:c r="M129" s="60" t="n">
        <x:v>182516</x:v>
      </x:c>
      <x:c r="N129" s="63" t="n">
        <x:f>IFERROR(M129/L129,"")</x:f>
        <x:v>0.5399354500891925</x:v>
      </x:c>
      <x:c r="O129" s="62" t="n">
        <x:v>0.1226</x:v>
      </x:c>
      <x:c r="P129" s="62" t="n">
        <x:v>0.0832</x:v>
      </x:c>
      <x:c r="Q129" s="52" t="str">
        <x:v>https://www.fsa.go.jp/policy/chusho/shihyou.html</x:v>
      </x:c>
    </x:row>
    <x:row r="130">
      <x:c r="A130" s="18" t="n">
        <x:v>129</x:v>
      </x:c>
      <x:c r="B130" s="18" t="str">
        <x:v>はくさん信用金庫</x:v>
      </x:c>
      <x:c r="C130" s="18" t="str">
        <x:v>はくさん</x:v>
      </x:c>
      <x:c r="D130" s="18" t="str">
        <x:v>石川県</x:v>
      </x:c>
      <x:c r="E130" s="18" t="str">
        <x:v>北陸・甲信越</x:v>
      </x:c>
      <x:c r="F130" s="18" t="str">
        <x:v>2025-03-31</x:v>
      </x:c>
      <x:c r="G130" s="18" t="str">
        <x:v>Basic Data Found</x:v>
      </x:c>
      <x:c r="H130" s="18" t="str"/>
      <x:c r="I130" s="18" t="str">
        <x:v>https://www.hakusanshinkin.co.jp/about/disclosure/</x:v>
      </x:c>
      <x:c r="J130" s="18" t="str">
        <x:v>https://www.shinkin-central-bank.jp/cgi-bin/s/index.cgi</x:v>
      </x:c>
      <x:c r="K130" s="52" t="n">
        <x:v>1444</x:v>
      </x:c>
      <x:c r="L130" s="60" t="n">
        <x:v>322459</x:v>
      </x:c>
      <x:c r="M130" s="60" t="n">
        <x:v>183032</x:v>
      </x:c>
      <x:c r="N130" s="63" t="n">
        <x:f>IFERROR(M130/L130,"")</x:f>
        <x:v>0.5676132469554269</x:v>
      </x:c>
      <x:c r="O130" s="62" t="n">
        <x:v>0.08789999999999999</x:v>
      </x:c>
      <x:c r="P130" s="62" t="n">
        <x:v>0.027999999999999997</x:v>
      </x:c>
      <x:c r="Q130" s="52" t="str">
        <x:v>https://www.fsa.go.jp/policy/chusho/shihyou.html</x:v>
      </x:c>
    </x:row>
    <x:row r="131">
      <x:c r="A131" s="18" t="n">
        <x:v>130</x:v>
      </x:c>
      <x:c r="B131" s="18" t="str">
        <x:v>興能信用金庫</x:v>
      </x:c>
      <x:c r="C131" s="18" t="str">
        <x:v>興能</x:v>
      </x:c>
      <x:c r="D131" s="18" t="str">
        <x:v>石川県</x:v>
      </x:c>
      <x:c r="E131" s="18" t="str">
        <x:v>北陸・甲信越</x:v>
      </x:c>
      <x:c r="F131" s="18" t="str">
        <x:v>2025-03-31</x:v>
      </x:c>
      <x:c r="G131" s="18" t="str">
        <x:v>Basic Data Found</x:v>
      </x:c>
      <x:c r="H131" s="18" t="str"/>
      <x:c r="I131" s="18" t="str">
        <x:v>https://www.kono-shinkin.co.jp/about/disclosure/magazine/</x:v>
      </x:c>
      <x:c r="J131" s="18" t="str">
        <x:v>https://www.shinkin-central-bank.jp/cgi-bin/s/index.cgi</x:v>
      </x:c>
      <x:c r="K131" s="52" t="n">
        <x:v>1448</x:v>
      </x:c>
      <x:c r="L131" s="60" t="n">
        <x:v>278257</x:v>
      </x:c>
      <x:c r="M131" s="60" t="n">
        <x:v>140633</x:v>
      </x:c>
      <x:c r="N131" s="63" t="n">
        <x:f>IFERROR(M131/L131,"")</x:f>
        <x:v>0.5054068720643147</x:v>
      </x:c>
      <x:c r="O131" s="62" t="n">
        <x:v>0.1225</x:v>
      </x:c>
      <x:c r="P131" s="62" t="n">
        <x:v>0.0482</x:v>
      </x:c>
      <x:c r="Q131" s="52" t="str">
        <x:v>https://www.fsa.go.jp/policy/chusho/shihyou.html</x:v>
      </x:c>
    </x:row>
    <x:row r="132">
      <x:c r="A132" s="18" t="n">
        <x:v>131</x:v>
      </x:c>
      <x:c r="B132" s="18" t="str">
        <x:v>福井信用金庫</x:v>
      </x:c>
      <x:c r="C132" s="18" t="str">
        <x:v>福井</x:v>
      </x:c>
      <x:c r="D132" s="18" t="str">
        <x:v>福井県</x:v>
      </x:c>
      <x:c r="E132" s="18" t="str">
        <x:v>北陸・甲信越</x:v>
      </x:c>
      <x:c r="F132" s="18" t="str">
        <x:v>2025-03-31</x:v>
      </x:c>
      <x:c r="G132" s="18" t="str">
        <x:v>Basic Data Found</x:v>
      </x:c>
      <x:c r="H132" s="18" t="str"/>
      <x:c r="I132" s="18" t="str">
        <x:v>https://www.shinkin.co.jp/fukushin/about/disclosure.shtml</x:v>
      </x:c>
      <x:c r="J132" s="18" t="str">
        <x:v>https://www.shinkin-central-bank.jp/cgi-bin/s/index.cgi</x:v>
      </x:c>
      <x:c r="K132" s="52" t="n">
        <x:v>1470</x:v>
      </x:c>
      <x:c r="L132" s="60" t="n">
        <x:v>835768</x:v>
      </x:c>
      <x:c r="M132" s="60" t="n">
        <x:v>388549</x:v>
      </x:c>
      <x:c r="N132" s="63" t="n">
        <x:f>IFERROR(M132/L132,"")</x:f>
        <x:v>0.46490054656316104</x:v>
      </x:c>
      <x:c r="O132" s="62" t="n">
        <x:v>0.1634</x:v>
      </x:c>
      <x:c r="P132" s="62" t="n">
        <x:v>0.0529</x:v>
      </x:c>
      <x:c r="Q132" s="52" t="str">
        <x:v>https://www.fsa.go.jp/policy/chusho/shihyou.html</x:v>
      </x:c>
    </x:row>
    <x:row r="133">
      <x:c r="A133" s="18" t="n">
        <x:v>132</x:v>
      </x:c>
      <x:c r="B133" s="18" t="str">
        <x:v>敦賀信用金庫</x:v>
      </x:c>
      <x:c r="C133" s="18" t="str">
        <x:v>敦賀</x:v>
      </x:c>
      <x:c r="D133" s="18" t="str">
        <x:v>福井県</x:v>
      </x:c>
      <x:c r="E133" s="18" t="str">
        <x:v>北陸・甲信越</x:v>
      </x:c>
      <x:c r="F133" s="18" t="str">
        <x:v>2025-03-31</x:v>
      </x:c>
      <x:c r="G133" s="18" t="str">
        <x:v>IRRBB Found</x:v>
      </x:c>
      <x:c r="H133" s="18" t="str"/>
      <x:c r="I133" s="18" t="str">
        <x:v>https://www.shinkin.co.jp/tsuruga/about/disc/</x:v>
      </x:c>
      <x:c r="J133" s="18" t="str">
        <x:v>https://www.shinkin-central-bank.jp/cgi-bin/s/index.cgi</x:v>
      </x:c>
      <x:c r="K133" s="52" t="n">
        <x:v>1471</x:v>
      </x:c>
      <x:c r="L133" s="60" t="n">
        <x:v>154704</x:v>
      </x:c>
      <x:c r="M133" s="60" t="n">
        <x:v>47554</x:v>
      </x:c>
      <x:c r="N133" s="63" t="n">
        <x:f>IFERROR(M133/L133,"")</x:f>
        <x:v>0.3073870100320612</x:v>
      </x:c>
      <x:c r="O133" s="62" t="n">
        <x:v>0.1303</x:v>
      </x:c>
      <x:c r="P133" s="62" t="n">
        <x:v>0.056100000000000004</x:v>
      </x:c>
      <x:c r="Q133" s="52" t="str">
        <x:v>https://www.fsa.go.jp/policy/chusho/shihyou.html</x:v>
      </x:c>
    </x:row>
    <x:row r="134">
      <x:c r="A134" s="18" t="n">
        <x:v>133</x:v>
      </x:c>
      <x:c r="B134" s="18" t="str">
        <x:v>小浜信用金庫</x:v>
      </x:c>
      <x:c r="C134" s="18" t="str">
        <x:v>小浜</x:v>
      </x:c>
      <x:c r="D134" s="18" t="str">
        <x:v>福井県</x:v>
      </x:c>
      <x:c r="E134" s="18" t="str">
        <x:v>北陸・甲信越</x:v>
      </x:c>
      <x:c r="F134" s="18" t="str">
        <x:v>2025-03-31</x:v>
      </x:c>
      <x:c r="G134" s="18" t="str">
        <x:v>Basic Data Found</x:v>
      </x:c>
      <x:c r="H134" s="18" t="str"/>
      <x:c r="I134" s="18" t="str">
        <x:v>https://www.shinkin.co.jp/obama/disclosure.html</x:v>
      </x:c>
      <x:c r="J134" s="18" t="str">
        <x:v>https://www.shinkin-central-bank.jp/cgi-bin/s/index.cgi</x:v>
      </x:c>
      <x:c r="K134" s="52" t="n">
        <x:v>1473</x:v>
      </x:c>
      <x:c r="L134" s="60" t="n">
        <x:v>107208</x:v>
      </x:c>
      <x:c r="M134" s="60" t="n">
        <x:v>37611</x:v>
      </x:c>
      <x:c r="N134" s="63" t="n">
        <x:f>IFERROR(M134/L134,"")</x:f>
        <x:v>0.3508226997985225</x:v>
      </x:c>
      <x:c r="O134" s="62" t="n">
        <x:v>0.2398</x:v>
      </x:c>
      <x:c r="P134" s="62" t="n">
        <x:v>0.0713</x:v>
      </x:c>
      <x:c r="Q134" s="52" t="str">
        <x:v>https://www.fsa.go.jp/policy/chusho/shihyou.html</x:v>
      </x:c>
    </x:row>
    <x:row r="135">
      <x:c r="A135" s="18" t="n">
        <x:v>134</x:v>
      </x:c>
      <x:c r="B135" s="18" t="str">
        <x:v>越前信用金庫</x:v>
      </x:c>
      <x:c r="C135" s="18" t="str">
        <x:v>越前</x:v>
      </x:c>
      <x:c r="D135" s="18" t="str">
        <x:v>福井県</x:v>
      </x:c>
      <x:c r="E135" s="18" t="str">
        <x:v>北陸・甲信越</x:v>
      </x:c>
      <x:c r="F135" s="18" t="str">
        <x:v>2025-03-31</x:v>
      </x:c>
      <x:c r="G135" s="18" t="str">
        <x:v>IRRBB Found</x:v>
      </x:c>
      <x:c r="H135" s="18" t="str"/>
      <x:c r="I135" s="18" t="str">
        <x:v>http://www.shinkin.co.jp/echishin/disclobanner/index.html</x:v>
      </x:c>
      <x:c r="J135" s="18" t="str">
        <x:v>https://www.shinkin-central-bank.jp/cgi-bin/s/index.cgi</x:v>
      </x:c>
      <x:c r="K135" s="52" t="n">
        <x:v>1475</x:v>
      </x:c>
      <x:c r="L135" s="60" t="n">
        <x:v>182819</x:v>
      </x:c>
      <x:c r="M135" s="60" t="n">
        <x:v>41389</x:v>
      </x:c>
      <x:c r="N135" s="63" t="n">
        <x:f>IFERROR(M135/L135,"")</x:f>
        <x:v>0.22639331798117263</x:v>
      </x:c>
      <x:c r="O135" s="62" t="n">
        <x:v>0.1703</x:v>
      </x:c>
      <x:c r="P135" s="62" t="n">
        <x:v>0.027000000000000003</x:v>
      </x:c>
      <x:c r="Q135" s="52" t="str">
        <x:v>https://www.fsa.go.jp/policy/chusho/shihyou.html</x:v>
      </x:c>
    </x:row>
    <x:row r="136">
      <x:c r="A136" s="18" t="n">
        <x:v>135</x:v>
      </x:c>
      <x:c r="B136" s="18" t="str">
        <x:v>しずおか焼津信用金庫</x:v>
      </x:c>
      <x:c r="C136" s="18" t="str">
        <x:v>しずおか焼津</x:v>
      </x:c>
      <x:c r="D136" s="18" t="str">
        <x:v>静岡県</x:v>
      </x:c>
      <x:c r="E136" s="18" t="str">
        <x:v>東海</x:v>
      </x:c>
      <x:c r="F136" s="18" t="str">
        <x:v>2025-03-31</x:v>
      </x:c>
      <x:c r="G136" s="18" t="str">
        <x:v>Basic Data Found</x:v>
      </x:c>
      <x:c r="H136" s="18" t="str"/>
      <x:c r="I136" s="18" t="str">
        <x:v>https://www.shizuokayaizu-shinkin.co.jp/about/disclosure/</x:v>
      </x:c>
      <x:c r="J136" s="18" t="str">
        <x:v>https://www.shinkin-central-bank.jp/cgi-bin/s/index.cgi</x:v>
      </x:c>
      <x:c r="K136" s="52" t="n">
        <x:v>1501</x:v>
      </x:c>
      <x:c r="L136" s="60" t="n">
        <x:v>1849012</x:v>
      </x:c>
      <x:c r="M136" s="60" t="n">
        <x:v>926601</x:v>
      </x:c>
      <x:c r="N136" s="63" t="n">
        <x:f>IFERROR(M136/L136,"")</x:f>
        <x:v>0.5011330375357218</x:v>
      </x:c>
      <x:c r="O136" s="62" t="n">
        <x:v>0.1394</x:v>
      </x:c>
      <x:c r="P136" s="62" t="n">
        <x:v>0.031400000000000004</x:v>
      </x:c>
      <x:c r="Q136" s="52" t="str">
        <x:v>https://www.fsa.go.jp/policy/chusho/shihyou.html</x:v>
      </x:c>
    </x:row>
    <x:row r="137">
      <x:c r="A137" s="18" t="n">
        <x:v>136</x:v>
      </x:c>
      <x:c r="B137" s="18" t="str">
        <x:v>静清信用金庫</x:v>
      </x:c>
      <x:c r="C137" s="18" t="str">
        <x:v>静清</x:v>
      </x:c>
      <x:c r="D137" s="18" t="str">
        <x:v>静岡県</x:v>
      </x:c>
      <x:c r="E137" s="18" t="str">
        <x:v>東海</x:v>
      </x:c>
      <x:c r="F137" s="18" t="str">
        <x:v>2025-03-31</x:v>
      </x:c>
      <x:c r="G137" s="18" t="str">
        <x:v>Basic Data Found</x:v>
      </x:c>
      <x:c r="H137" s="18" t="str"/>
      <x:c r="I137" s="18" t="str">
        <x:v>https://www.seishin-shinkin.co.jp/about/disclosure/</x:v>
      </x:c>
      <x:c r="J137" s="18" t="str">
        <x:v>https://www.shinkin-central-bank.jp/cgi-bin/s/index.cgi</x:v>
      </x:c>
      <x:c r="K137" s="52" t="n">
        <x:v>1502</x:v>
      </x:c>
      <x:c r="L137" s="60" t="n">
        <x:v>987434</x:v>
      </x:c>
      <x:c r="M137" s="60" t="n">
        <x:v>423554</x:v>
      </x:c>
      <x:c r="N137" s="63" t="n">
        <x:f>IFERROR(M137/L137,"")</x:f>
        <x:v>0.4289441117077192</x:v>
      </x:c>
      <x:c r="O137" s="62" t="n">
        <x:v>0.1725</x:v>
      </x:c>
      <x:c r="P137" s="62" t="n">
        <x:v>0.0277</x:v>
      </x:c>
      <x:c r="Q137" s="52" t="str">
        <x:v>https://www.fsa.go.jp/policy/chusho/shihyou.html</x:v>
      </x:c>
    </x:row>
    <x:row r="138">
      <x:c r="A138" s="18" t="n">
        <x:v>137</x:v>
      </x:c>
      <x:c r="B138" s="18" t="str">
        <x:v>浜松磐田信用金庫</x:v>
      </x:c>
      <x:c r="C138" s="18" t="str">
        <x:v>浜松磐田</x:v>
      </x:c>
      <x:c r="D138" s="18" t="str">
        <x:v>静岡県</x:v>
      </x:c>
      <x:c r="E138" s="18" t="str">
        <x:v>東海</x:v>
      </x:c>
      <x:c r="F138" s="18" t="str">
        <x:v>2025-03-31</x:v>
      </x:c>
      <x:c r="G138" s="18" t="str">
        <x:v>Basic Data Found</x:v>
      </x:c>
      <x:c r="H138" s="18" t="str"/>
      <x:c r="I138" s="18" t="str">
        <x:v>https://hamamatsu-iwata.jp/about/disclosure/</x:v>
      </x:c>
      <x:c r="J138" s="18" t="str">
        <x:v>https://www.shinkin-central-bank.jp/cgi-bin/s/index.cgi</x:v>
      </x:c>
      <x:c r="K138" s="52" t="n">
        <x:v>1503</x:v>
      </x:c>
      <x:c r="L138" s="60" t="n">
        <x:v>2843035</x:v>
      </x:c>
      <x:c r="M138" s="60" t="n">
        <x:v>1393762</x:v>
      </x:c>
      <x:c r="N138" s="63" t="n">
        <x:f>IFERROR(M138/L138,"")</x:f>
        <x:v>0.4902373695716022</x:v>
      </x:c>
      <x:c r="O138" s="62" t="n">
        <x:v>0.1335</x:v>
      </x:c>
      <x:c r="P138" s="62" t="n">
        <x:v>0.0434</x:v>
      </x:c>
      <x:c r="Q138" s="52" t="str">
        <x:v>https://www.fsa.go.jp/policy/chusho/shihyou.html</x:v>
      </x:c>
    </x:row>
    <x:row r="139">
      <x:c r="A139" s="18" t="n">
        <x:v>138</x:v>
      </x:c>
      <x:c r="B139" s="18" t="str">
        <x:v>沼津信用金庫</x:v>
      </x:c>
      <x:c r="C139" s="18" t="str">
        <x:v>沼津</x:v>
      </x:c>
      <x:c r="D139" s="18" t="str">
        <x:v>静岡県</x:v>
      </x:c>
      <x:c r="E139" s="18" t="str">
        <x:v>東海</x:v>
      </x:c>
      <x:c r="F139" s="18" t="str">
        <x:v>2025-03-31</x:v>
      </x:c>
      <x:c r="G139" s="18" t="str">
        <x:v>Basic Data Found</x:v>
      </x:c>
      <x:c r="H139" s="18" t="str"/>
      <x:c r="I139" s="18" t="str">
        <x:v>https://www.numashin.co.jp/about/loger.html</x:v>
      </x:c>
      <x:c r="J139" s="18" t="str">
        <x:v>https://www.shinkin-central-bank.jp/cgi-bin/s/index.cgi</x:v>
      </x:c>
      <x:c r="K139" s="52" t="n">
        <x:v>1505</x:v>
      </x:c>
      <x:c r="L139" s="60" t="n">
        <x:v>570142</x:v>
      </x:c>
      <x:c r="M139" s="60" t="n">
        <x:v>239921</x:v>
      </x:c>
      <x:c r="N139" s="63" t="n">
        <x:f>IFERROR(M139/L139,"")</x:f>
        <x:v>0.42080920191811866</x:v>
      </x:c>
      <x:c r="O139" s="62" t="n">
        <x:v>0.1611</x:v>
      </x:c>
      <x:c r="P139" s="62" t="n">
        <x:v>0.0623</x:v>
      </x:c>
      <x:c r="Q139" s="52" t="str">
        <x:v>https://www.fsa.go.jp/policy/chusho/shihyou.html</x:v>
      </x:c>
    </x:row>
    <x:row r="140">
      <x:c r="A140" s="18" t="n">
        <x:v>139</x:v>
      </x:c>
      <x:c r="B140" s="18" t="str">
        <x:v>三島信用金庫</x:v>
      </x:c>
      <x:c r="C140" s="18" t="str">
        <x:v>三島</x:v>
      </x:c>
      <x:c r="D140" s="18" t="str">
        <x:v>静岡県</x:v>
      </x:c>
      <x:c r="E140" s="18" t="str">
        <x:v>東海</x:v>
      </x:c>
      <x:c r="F140" s="18" t="str">
        <x:v>2025-03-31</x:v>
      </x:c>
      <x:c r="G140" s="18" t="str">
        <x:v>Basic Data Found</x:v>
      </x:c>
      <x:c r="H140" s="18" t="str"/>
      <x:c r="I140" s="18" t="str">
        <x:v>https://www.mishima-shinkin.co.jp/outline/disclosure/</x:v>
      </x:c>
      <x:c r="J140" s="18" t="str">
        <x:v>https://www.shinkin-central-bank.jp/cgi-bin/s/index.cgi</x:v>
      </x:c>
      <x:c r="K140" s="52" t="n">
        <x:v>1506</x:v>
      </x:c>
      <x:c r="L140" s="60" t="n">
        <x:v>1022927</x:v>
      </x:c>
      <x:c r="M140" s="60" t="n">
        <x:v>481955</x:v>
      </x:c>
      <x:c r="N140" s="63" t="n">
        <x:f>IFERROR(M140/L140,"")</x:f>
        <x:v>0.47115287796685396</x:v>
      </x:c>
      <x:c r="O140" s="62" t="n">
        <x:v>0.2065</x:v>
      </x:c>
      <x:c r="P140" s="62" t="n">
        <x:v>0.0546</x:v>
      </x:c>
      <x:c r="Q140" s="52" t="str">
        <x:v>https://www.fsa.go.jp/policy/chusho/shihyou.html</x:v>
      </x:c>
    </x:row>
    <x:row r="141">
      <x:c r="A141" s="18" t="n">
        <x:v>140</x:v>
      </x:c>
      <x:c r="B141" s="18" t="str">
        <x:v>富士宮信用金庫</x:v>
      </x:c>
      <x:c r="C141" s="18" t="str">
        <x:v>富士宮</x:v>
      </x:c>
      <x:c r="D141" s="18" t="str">
        <x:v>静岡県</x:v>
      </x:c>
      <x:c r="E141" s="18" t="str">
        <x:v>東海</x:v>
      </x:c>
      <x:c r="F141" s="18" t="str">
        <x:v>2025-03-31</x:v>
      </x:c>
      <x:c r="G141" s="18" t="str">
        <x:v>Basic Data Found</x:v>
      </x:c>
      <x:c r="H141" s="18" t="str"/>
      <x:c r="I141" s="18" t="str">
        <x:v>https://www.miyashin.co.jp/about/disclosure.html</x:v>
      </x:c>
      <x:c r="J141" s="18" t="str">
        <x:v>https://www.shinkin-central-bank.jp/cgi-bin/s/index.cgi</x:v>
      </x:c>
      <x:c r="K141" s="52" t="n">
        <x:v>1507</x:v>
      </x:c>
      <x:c r="L141" s="60" t="n">
        <x:v>412214</x:v>
      </x:c>
      <x:c r="M141" s="60" t="n">
        <x:v>170357</x:v>
      </x:c>
      <x:c r="N141" s="63" t="n">
        <x:f>IFERROR(M141/L141,"")</x:f>
        <x:v>0.4132732027539094</x:v>
      </x:c>
      <x:c r="O141" s="62" t="n">
        <x:v>0.21789999999999998</x:v>
      </x:c>
      <x:c r="P141" s="62" t="n">
        <x:v>0.0737</x:v>
      </x:c>
      <x:c r="Q141" s="52" t="str">
        <x:v>https://www.fsa.go.jp/policy/chusho/shihyou.html</x:v>
      </x:c>
    </x:row>
    <x:row r="142">
      <x:c r="A142" s="18" t="n">
        <x:v>141</x:v>
      </x:c>
      <x:c r="B142" s="18" t="str">
        <x:v>島田掛川信用金庫</x:v>
      </x:c>
      <x:c r="C142" s="18" t="str">
        <x:v>島田掛川</x:v>
      </x:c>
      <x:c r="D142" s="18" t="str">
        <x:v>静岡県</x:v>
      </x:c>
      <x:c r="E142" s="18" t="str">
        <x:v>東海</x:v>
      </x:c>
      <x:c r="F142" s="18" t="str">
        <x:v>2025-03-31</x:v>
      </x:c>
      <x:c r="G142" s="18" t="str">
        <x:v>Basic Data Found</x:v>
      </x:c>
      <x:c r="H142" s="18" t="str"/>
      <x:c r="I142" s="18" t="str">
        <x:v>https://www.sk-shinkin.co.jp/profile/disclo/</x:v>
      </x:c>
      <x:c r="J142" s="18" t="str">
        <x:v>https://www.shinkin-central-bank.jp/cgi-bin/s/index.cgi</x:v>
      </x:c>
      <x:c r="K142" s="52" t="n">
        <x:v>1513</x:v>
      </x:c>
      <x:c r="L142" s="60" t="n">
        <x:v>1014549</x:v>
      </x:c>
      <x:c r="M142" s="60" t="n">
        <x:v>358766</x:v>
      </x:c>
      <x:c r="N142" s="63" t="n">
        <x:f>IFERROR(M142/L142,"")</x:f>
        <x:v>0.353621165660801</x:v>
      </x:c>
      <x:c r="O142" s="62" t="n">
        <x:v>0.09179999999999999</x:v>
      </x:c>
      <x:c r="P142" s="62" t="n">
        <x:v>0.0613</x:v>
      </x:c>
      <x:c r="Q142" s="52" t="str">
        <x:v>https://www.fsa.go.jp/policy/chusho/shihyou.html</x:v>
      </x:c>
    </x:row>
    <x:row r="143">
      <x:c r="A143" s="18" t="n">
        <x:v>142</x:v>
      </x:c>
      <x:c r="B143" s="18" t="str">
        <x:v>富士信用金庫</x:v>
      </x:c>
      <x:c r="C143" s="18" t="str">
        <x:v>富士</x:v>
      </x:c>
      <x:c r="D143" s="18" t="str">
        <x:v>静岡県</x:v>
      </x:c>
      <x:c r="E143" s="18" t="str">
        <x:v>東海</x:v>
      </x:c>
      <x:c r="F143" s="18" t="str">
        <x:v>2025-03-31</x:v>
      </x:c>
      <x:c r="G143" s="18" t="str">
        <x:v>Basic Data Found</x:v>
      </x:c>
      <x:c r="H143" s="18" t="str"/>
      <x:c r="I143" s="18" t="str">
        <x:v>https://fuji-shinkin.jp/about/disclosure.html</x:v>
      </x:c>
      <x:c r="J143" s="18" t="str">
        <x:v>https://www.shinkin-central-bank.jp/cgi-bin/s/index.cgi</x:v>
      </x:c>
      <x:c r="K143" s="52" t="n">
        <x:v>1515</x:v>
      </x:c>
      <x:c r="L143" s="60" t="n">
        <x:v>445763</x:v>
      </x:c>
      <x:c r="M143" s="60" t="n">
        <x:v>195907</x:v>
      </x:c>
      <x:c r="N143" s="63" t="n">
        <x:f>IFERROR(M143/L143,"")</x:f>
        <x:v>0.43948690223280085</x:v>
      </x:c>
      <x:c r="O143" s="62" t="n">
        <x:v>0.128</x:v>
      </x:c>
      <x:c r="P143" s="62" t="n">
        <x:v>0.0584</x:v>
      </x:c>
      <x:c r="Q143" s="52" t="str">
        <x:v>https://www.fsa.go.jp/policy/chusho/shihyou.html</x:v>
      </x:c>
    </x:row>
    <x:row r="144">
      <x:c r="A144" s="18" t="n">
        <x:v>143</x:v>
      </x:c>
      <x:c r="B144" s="18" t="str">
        <x:v>遠州信用金庫</x:v>
      </x:c>
      <x:c r="C144" s="18" t="str">
        <x:v>遠州</x:v>
      </x:c>
      <x:c r="D144" s="18" t="str">
        <x:v>静岡県</x:v>
      </x:c>
      <x:c r="E144" s="18" t="str">
        <x:v>東海</x:v>
      </x:c>
      <x:c r="F144" s="18" t="str">
        <x:v>2025-03-31</x:v>
      </x:c>
      <x:c r="G144" s="18" t="str">
        <x:v>Basic Data Found</x:v>
      </x:c>
      <x:c r="H144" s="18" t="str"/>
      <x:c r="I144" s="18" t="str">
        <x:v>https://www.enshu-shinkin.jp/about/management/disclosure/</x:v>
      </x:c>
      <x:c r="J144" s="18" t="str">
        <x:v>https://www.shinkin-central-bank.jp/cgi-bin/s/index.cgi</x:v>
      </x:c>
      <x:c r="K144" s="52" t="n">
        <x:v>1517</x:v>
      </x:c>
      <x:c r="L144" s="60" t="n">
        <x:v>483314</x:v>
      </x:c>
      <x:c r="M144" s="60" t="n">
        <x:v>226038</x:v>
      </x:c>
      <x:c r="N144" s="63" t="n">
        <x:f>IFERROR(M144/L144,"")</x:f>
        <x:v>0.467683534927604</x:v>
      </x:c>
      <x:c r="O144" s="62" t="n">
        <x:v>0.1336</x:v>
      </x:c>
      <x:c r="P144" s="62" t="n">
        <x:v>0.057800000000000004</x:v>
      </x:c>
      <x:c r="Q144" s="52" t="str">
        <x:v>https://www.fsa.go.jp/policy/chusho/shihyou.html</x:v>
      </x:c>
    </x:row>
    <x:row r="145">
      <x:c r="A145" s="18" t="n">
        <x:v>144</x:v>
      </x:c>
      <x:c r="B145" s="18" t="str">
        <x:v>岐阜信用金庫</x:v>
      </x:c>
      <x:c r="C145" s="18" t="str">
        <x:v>岐阜</x:v>
      </x:c>
      <x:c r="D145" s="18" t="str">
        <x:v>岐阜県</x:v>
      </x:c>
      <x:c r="E145" s="18" t="str">
        <x:v>東海</x:v>
      </x:c>
      <x:c r="F145" s="18" t="str">
        <x:v>2025-03-31</x:v>
      </x:c>
      <x:c r="G145" s="18" t="str">
        <x:v>Basic Data Found</x:v>
      </x:c>
      <x:c r="H145" s="18" t="str"/>
      <x:c r="I145" s="18" t="str">
        <x:v>https://www.gifushin.co.jp/intro/disclo/index.html</x:v>
      </x:c>
      <x:c r="J145" s="18" t="str">
        <x:v>https://www.shinkin-central-bank.jp/cgi-bin/s/index.cgi</x:v>
      </x:c>
      <x:c r="K145" s="52" t="n">
        <x:v>1530</x:v>
      </x:c>
      <x:c r="L145" s="60" t="n">
        <x:v>2659803</x:v>
      </x:c>
      <x:c r="M145" s="60" t="n">
        <x:v>1500847</x:v>
      </x:c>
      <x:c r="N145" s="63" t="n">
        <x:f>IFERROR(M145/L145,"")</x:f>
        <x:v>0.5642699854086938</x:v>
      </x:c>
      <x:c r="O145" s="62" t="n">
        <x:v>0.0998</x:v>
      </x:c>
      <x:c r="P145" s="62" t="n">
        <x:v>0.0256</x:v>
      </x:c>
      <x:c r="Q145" s="52" t="str">
        <x:v>https://www.fsa.go.jp/policy/chusho/shihyou.html</x:v>
      </x:c>
    </x:row>
    <x:row r="146">
      <x:c r="A146" s="18" t="n">
        <x:v>145</x:v>
      </x:c>
      <x:c r="B146" s="18" t="str">
        <x:v>大垣西濃信用金庫</x:v>
      </x:c>
      <x:c r="C146" s="18" t="str">
        <x:v>大垣西濃</x:v>
      </x:c>
      <x:c r="D146" s="18" t="str">
        <x:v>岐阜県</x:v>
      </x:c>
      <x:c r="E146" s="18" t="str">
        <x:v>東海</x:v>
      </x:c>
      <x:c r="F146" s="18" t="str">
        <x:v>2025-03-31</x:v>
      </x:c>
      <x:c r="G146" s="18" t="str">
        <x:v>Basic Data Found</x:v>
      </x:c>
      <x:c r="H146" s="18" t="str"/>
      <x:c r="I146" s="18" t="str">
        <x:v>https://www.ogakiseino-shinkin.co.jp/about/disclosure/</x:v>
      </x:c>
      <x:c r="J146" s="18" t="str">
        <x:v>https://www.shinkin-central-bank.jp/cgi-bin/s/index.cgi</x:v>
      </x:c>
      <x:c r="K146" s="52" t="n">
        <x:v>1531</x:v>
      </x:c>
      <x:c r="L146" s="60" t="n">
        <x:v>807114</x:v>
      </x:c>
      <x:c r="M146" s="60" t="n">
        <x:v>366587</x:v>
      </x:c>
      <x:c r="N146" s="63" t="n">
        <x:f>IFERROR(M146/L146,"")</x:f>
        <x:v>0.4541948225405581</x:v>
      </x:c>
      <x:c r="O146" s="62" t="n">
        <x:v>0.1464</x:v>
      </x:c>
      <x:c r="P146" s="62" t="n">
        <x:v>0.0388</x:v>
      </x:c>
      <x:c r="Q146" s="52" t="str">
        <x:v>https://www.fsa.go.jp/policy/chusho/shihyou.html</x:v>
      </x:c>
    </x:row>
    <x:row r="147">
      <x:c r="A147" s="18" t="n">
        <x:v>146</x:v>
      </x:c>
      <x:c r="B147" s="18" t="str">
        <x:v>高山信用金庫</x:v>
      </x:c>
      <x:c r="C147" s="18" t="str">
        <x:v>高山</x:v>
      </x:c>
      <x:c r="D147" s="18" t="str">
        <x:v>岐阜県</x:v>
      </x:c>
      <x:c r="E147" s="18" t="str">
        <x:v>東海</x:v>
      </x:c>
      <x:c r="F147" s="18" t="str">
        <x:v>2025-03-31</x:v>
      </x:c>
      <x:c r="G147" s="18" t="str">
        <x:v>Basic Data Found</x:v>
      </x:c>
      <x:c r="H147" s="18" t="str"/>
      <x:c r="I147" s="18" t="str">
        <x:v>https://www.shinkin.co.jp/takayama/document/disclosure.html</x:v>
      </x:c>
      <x:c r="J147" s="18" t="str">
        <x:v>https://www.shinkin-central-bank.jp/cgi-bin/s/index.cgi</x:v>
      </x:c>
      <x:c r="K147" s="52" t="n">
        <x:v>1532</x:v>
      </x:c>
      <x:c r="L147" s="60" t="n">
        <x:v>230632</x:v>
      </x:c>
      <x:c r="M147" s="60" t="n">
        <x:v>125566</x:v>
      </x:c>
      <x:c r="N147" s="63" t="n">
        <x:f>IFERROR(M147/L147,"")</x:f>
        <x:v>0.5444430954941205</x:v>
      </x:c>
      <x:c r="O147" s="62" t="n">
        <x:v>0.0967</x:v>
      </x:c>
      <x:c r="P147" s="62" t="n">
        <x:v>0.0536</x:v>
      </x:c>
      <x:c r="Q147" s="52" t="str">
        <x:v>https://www.fsa.go.jp/policy/chusho/shihyou.html</x:v>
      </x:c>
    </x:row>
    <x:row r="148">
      <x:c r="A148" s="18" t="n">
        <x:v>147</x:v>
      </x:c>
      <x:c r="B148" s="18" t="str">
        <x:v>東濃信用金庫</x:v>
      </x:c>
      <x:c r="C148" s="18" t="str">
        <x:v>東濃</x:v>
      </x:c>
      <x:c r="D148" s="18" t="str">
        <x:v>岐阜県</x:v>
      </x:c>
      <x:c r="E148" s="18" t="str">
        <x:v>東海</x:v>
      </x:c>
      <x:c r="F148" s="18" t="str">
        <x:v>2025-03-31</x:v>
      </x:c>
      <x:c r="G148" s="18" t="str">
        <x:v>Basic Data Found</x:v>
      </x:c>
      <x:c r="H148" s="18" t="str"/>
      <x:c r="I148" s="18" t="str">
        <x:v>https://www.shinkin.co.jp/tono/toshin/disclosure/index.html</x:v>
      </x:c>
      <x:c r="J148" s="18" t="str">
        <x:v>https://www.shinkin-central-bank.jp/cgi-bin/s/index.cgi</x:v>
      </x:c>
      <x:c r="K148" s="52" t="n">
        <x:v>1533</x:v>
      </x:c>
      <x:c r="L148" s="60" t="n">
        <x:v>1237460</x:v>
      </x:c>
      <x:c r="M148" s="60" t="n">
        <x:v>563946</x:v>
      </x:c>
      <x:c r="N148" s="63" t="n">
        <x:f>IFERROR(M148/L148,"")</x:f>
        <x:v>0.45572867001761674</x:v>
      </x:c>
      <x:c r="O148" s="62" t="n">
        <x:v>0.17489999999999997</x:v>
      </x:c>
      <x:c r="P148" s="62" t="n">
        <x:v>0.061</x:v>
      </x:c>
      <x:c r="Q148" s="52" t="str">
        <x:v>https://www.fsa.go.jp/policy/chusho/shihyou.html</x:v>
      </x:c>
    </x:row>
    <x:row r="149">
      <x:c r="A149" s="18" t="n">
        <x:v>148</x:v>
      </x:c>
      <x:c r="B149" s="18" t="str">
        <x:v>関信用金庫</x:v>
      </x:c>
      <x:c r="C149" s="18" t="str">
        <x:v>関</x:v>
      </x:c>
      <x:c r="D149" s="18" t="str">
        <x:v>岐阜県</x:v>
      </x:c>
      <x:c r="E149" s="18" t="str">
        <x:v>東海</x:v>
      </x:c>
      <x:c r="F149" s="18" t="str">
        <x:v>2025-03-31</x:v>
      </x:c>
      <x:c r="G149" s="18" t="str">
        <x:v>Basic Data Found</x:v>
      </x:c>
      <x:c r="H149" s="18" t="str"/>
      <x:c r="I149" s="18" t="str">
        <x:v>https://www.shinkin.co.jp/seki1534/about/disclosure/</x:v>
      </x:c>
      <x:c r="J149" s="18" t="str">
        <x:v>https://www.shinkin-central-bank.jp/cgi-bin/s/index.cgi</x:v>
      </x:c>
      <x:c r="K149" s="52" t="n">
        <x:v>1534</x:v>
      </x:c>
      <x:c r="L149" s="60" t="n">
        <x:v>310468</x:v>
      </x:c>
      <x:c r="M149" s="60" t="n">
        <x:v>131176</x:v>
      </x:c>
      <x:c r="N149" s="63" t="n">
        <x:f>IFERROR(M149/L149,"")</x:f>
        <x:v>0.4225105324864398</x:v>
      </x:c>
      <x:c r="O149" s="62" t="n">
        <x:v>0.1389</x:v>
      </x:c>
      <x:c r="P149" s="62" t="n">
        <x:v>0.0441</x:v>
      </x:c>
      <x:c r="Q149" s="52" t="str">
        <x:v>https://www.fsa.go.jp/policy/chusho/shihyou.html</x:v>
      </x:c>
    </x:row>
    <x:row r="150">
      <x:c r="A150" s="18" t="n">
        <x:v>149</x:v>
      </x:c>
      <x:c r="B150" s="18" t="str">
        <x:v>八幡信用金庫</x:v>
      </x:c>
      <x:c r="C150" s="18" t="str">
        <x:v>八幡</x:v>
      </x:c>
      <x:c r="D150" s="18" t="str">
        <x:v>岐阜県</x:v>
      </x:c>
      <x:c r="E150" s="18" t="str">
        <x:v>東海</x:v>
      </x:c>
      <x:c r="F150" s="18" t="str">
        <x:v>2025-03-31</x:v>
      </x:c>
      <x:c r="G150" s="18" t="str">
        <x:v>IRRBB Found</x:v>
      </x:c>
      <x:c r="H150" s="18" t="str"/>
      <x:c r="I150" s="18" t="str">
        <x:v>https://www.shinkin.co.jp/hachiman/disclo/now.html</x:v>
      </x:c>
      <x:c r="J150" s="18" t="str">
        <x:v>https://www.shinkin-central-bank.jp/cgi-bin/s/index.cgi</x:v>
      </x:c>
      <x:c r="K150" s="52" t="n">
        <x:v>1538</x:v>
      </x:c>
      <x:c r="L150" s="60" t="n">
        <x:v>128035</x:v>
      </x:c>
      <x:c r="M150" s="60" t="n">
        <x:v>32047</x:v>
      </x:c>
      <x:c r="N150" s="63" t="n">
        <x:f>IFERROR(M150/L150,"")</x:f>
        <x:v>0.2502987464365213</x:v>
      </x:c>
      <x:c r="O150" s="62" t="n">
        <x:v>0.25239999999999996</x:v>
      </x:c>
      <x:c r="P150" s="62" t="n">
        <x:v>0.0229</x:v>
      </x:c>
      <x:c r="Q150" s="52" t="str">
        <x:v>https://www.fsa.go.jp/policy/chusho/shihyou.html</x:v>
      </x:c>
    </x:row>
    <x:row r="151">
      <x:c r="A151" s="18" t="n">
        <x:v>150</x:v>
      </x:c>
      <x:c r="B151" s="18" t="str">
        <x:v>愛知信用金庫</x:v>
      </x:c>
      <x:c r="C151" s="18" t="str">
        <x:v>愛知</x:v>
      </x:c>
      <x:c r="D151" s="18" t="str">
        <x:v>愛知県</x:v>
      </x:c>
      <x:c r="E151" s="18" t="str">
        <x:v>東海</x:v>
      </x:c>
      <x:c r="F151" s="18" t="str">
        <x:v>2025-03-31</x:v>
      </x:c>
      <x:c r="G151" s="18" t="str">
        <x:v>Basic Data Found</x:v>
      </x:c>
      <x:c r="H151" s="18" t="str"/>
      <x:c r="I151" s="18" t="str">
        <x:v>https://www.aichishinkin.co.jp/report.html</x:v>
      </x:c>
      <x:c r="J151" s="18" t="str">
        <x:v>https://www.shinkin-central-bank.jp/cgi-bin/s/index.cgi</x:v>
      </x:c>
      <x:c r="K151" s="52" t="n">
        <x:v>1550</x:v>
      </x:c>
      <x:c r="L151" s="60" t="n">
        <x:v>283788</x:v>
      </x:c>
      <x:c r="M151" s="60" t="n">
        <x:v>138926</x:v>
      </x:c>
      <x:c r="N151" s="63" t="n">
        <x:f>IFERROR(M151/L151,"")</x:f>
        <x:v>0.48954148871692954</x:v>
      </x:c>
      <x:c r="O151" s="62" t="n">
        <x:v>0.14679999999999999</x:v>
      </x:c>
      <x:c r="P151" s="62" t="n">
        <x:v>0.0344</x:v>
      </x:c>
      <x:c r="Q151" s="52" t="str">
        <x:v>https://www.fsa.go.jp/policy/chusho/shihyou.html</x:v>
      </x:c>
    </x:row>
    <x:row r="152">
      <x:c r="A152" s="18" t="n">
        <x:v>151</x:v>
      </x:c>
      <x:c r="B152" s="18" t="str">
        <x:v>豊橋信用金庫</x:v>
      </x:c>
      <x:c r="C152" s="18" t="str">
        <x:v>豊橋</x:v>
      </x:c>
      <x:c r="D152" s="18" t="str">
        <x:v>愛知県</x:v>
      </x:c>
      <x:c r="E152" s="18" t="str">
        <x:v>東海</x:v>
      </x:c>
      <x:c r="F152" s="18" t="str">
        <x:v>2025-03-31</x:v>
      </x:c>
      <x:c r="G152" s="18" t="str">
        <x:v>Basic Data Found</x:v>
      </x:c>
      <x:c r="H152" s="18" t="str"/>
      <x:c r="I152" s="18" t="str">
        <x:v>https://www.toyo-shin.co.jp/about/disclosure.shtml</x:v>
      </x:c>
      <x:c r="J152" s="18" t="str">
        <x:v>https://www.shinkin-central-bank.jp/cgi-bin/s/index.cgi</x:v>
      </x:c>
      <x:c r="K152" s="52" t="n">
        <x:v>1551</x:v>
      </x:c>
      <x:c r="L152" s="60" t="n">
        <x:v>1014760</x:v>
      </x:c>
      <x:c r="M152" s="60" t="n">
        <x:v>442569</x:v>
      </x:c>
      <x:c r="N152" s="63" t="n">
        <x:f>IFERROR(M152/L152,"")</x:f>
        <x:v>0.43613169616461034</x:v>
      </x:c>
      <x:c r="O152" s="62" t="n">
        <x:v>0.1604</x:v>
      </x:c>
      <x:c r="P152" s="62" t="n">
        <x:v>0.026699999999999998</x:v>
      </x:c>
      <x:c r="Q152" s="52" t="str">
        <x:v>https://www.fsa.go.jp/policy/chusho/shihyou.html</x:v>
      </x:c>
    </x:row>
    <x:row r="153">
      <x:c r="A153" s="18" t="n">
        <x:v>152</x:v>
      </x:c>
      <x:c r="B153" s="18" t="str">
        <x:v>岡崎信用金庫</x:v>
      </x:c>
      <x:c r="C153" s="18" t="str">
        <x:v>岡崎</x:v>
      </x:c>
      <x:c r="D153" s="18" t="str">
        <x:v>愛知県</x:v>
      </x:c>
      <x:c r="E153" s="18" t="str">
        <x:v>東海</x:v>
      </x:c>
      <x:c r="F153" s="18" t="str">
        <x:v>2025-03-31</x:v>
      </x:c>
      <x:c r="G153" s="18" t="str">
        <x:v>Basic Data Found</x:v>
      </x:c>
      <x:c r="H153" s="18" t="str"/>
      <x:c r="I153" s="18" t="str">
        <x:v>https://www.okashin.co.jp/about/disclosure/index.html</x:v>
      </x:c>
      <x:c r="J153" s="18" t="str">
        <x:v>https://www.shinkin-central-bank.jp/cgi-bin/s/index.cgi</x:v>
      </x:c>
      <x:c r="K153" s="52" t="n">
        <x:v>1552</x:v>
      </x:c>
      <x:c r="L153" s="60" t="n">
        <x:v>3625934</x:v>
      </x:c>
      <x:c r="M153" s="60" t="n">
        <x:v>1782332</x:v>
      </x:c>
      <x:c r="N153" s="63" t="n">
        <x:f>IFERROR(M153/L153,"")</x:f>
        <x:v>0.49155114240910064</x:v>
      </x:c>
      <x:c r="O153" s="62" t="n">
        <x:v>0.1116</x:v>
      </x:c>
      <x:c r="P153" s="62" t="n">
        <x:v>0.022099999999999998</x:v>
      </x:c>
      <x:c r="Q153" s="52" t="str">
        <x:v>https://www.fsa.go.jp/policy/chusho/shihyou.html</x:v>
      </x:c>
    </x:row>
    <x:row r="154">
      <x:c r="A154" s="18" t="n">
        <x:v>153</x:v>
      </x:c>
      <x:c r="B154" s="18" t="str">
        <x:v>いちい信用金庫</x:v>
      </x:c>
      <x:c r="C154" s="18" t="str">
        <x:v>いちい</x:v>
      </x:c>
      <x:c r="D154" s="18" t="str">
        <x:v>愛知県</x:v>
      </x:c>
      <x:c r="E154" s="18" t="str">
        <x:v>東海</x:v>
      </x:c>
      <x:c r="F154" s="18" t="str">
        <x:v>2025-03-31</x:v>
      </x:c>
      <x:c r="G154" s="18" t="str">
        <x:v>Basic Data Found</x:v>
      </x:c>
      <x:c r="H154" s="18" t="str"/>
      <x:c r="I154" s="18" t="str">
        <x:v>https://www.shinkin.co.jp/ichii/disclosure.html</x:v>
      </x:c>
      <x:c r="J154" s="18" t="str">
        <x:v>https://www.shinkin-central-bank.jp/cgi-bin/s/index.cgi</x:v>
      </x:c>
      <x:c r="K154" s="52" t="n">
        <x:v>1553</x:v>
      </x:c>
      <x:c r="L154" s="60" t="n">
        <x:v>1131276</x:v>
      </x:c>
      <x:c r="M154" s="60" t="n">
        <x:v>453329</x:v>
      </x:c>
      <x:c r="N154" s="63" t="n">
        <x:f>IFERROR(M154/L154,"")</x:f>
        <x:v>0.40072360767840914</x:v>
      </x:c>
      <x:c r="O154" s="62" t="n">
        <x:v>0.12869999999999998</x:v>
      </x:c>
      <x:c r="P154" s="62" t="n">
        <x:v>0.0537</x:v>
      </x:c>
      <x:c r="Q154" s="52" t="str">
        <x:v>https://www.fsa.go.jp/policy/chusho/shihyou.html</x:v>
      </x:c>
    </x:row>
    <x:row r="155">
      <x:c r="A155" s="18" t="n">
        <x:v>154</x:v>
      </x:c>
      <x:c r="B155" s="18" t="str">
        <x:v>瀬戸信用金庫</x:v>
      </x:c>
      <x:c r="C155" s="18" t="str">
        <x:v>瀬戸</x:v>
      </x:c>
      <x:c r="D155" s="18" t="str">
        <x:v>愛知県</x:v>
      </x:c>
      <x:c r="E155" s="18" t="str">
        <x:v>東海</x:v>
      </x:c>
      <x:c r="F155" s="18" t="str">
        <x:v>2025-03-31</x:v>
      </x:c>
      <x:c r="G155" s="18" t="str">
        <x:v>Basic Data Found</x:v>
      </x:c>
      <x:c r="H155" s="18" t="str"/>
      <x:c r="I155" s="18" t="str">
        <x:v>https://www.setoshin.co.jp/setoshinkin/disclosure/</x:v>
      </x:c>
      <x:c r="J155" s="18" t="str">
        <x:v>https://www.shinkin-central-bank.jp/cgi-bin/s/index.cgi</x:v>
      </x:c>
      <x:c r="K155" s="52" t="n">
        <x:v>1554</x:v>
      </x:c>
      <x:c r="L155" s="60" t="n">
        <x:v>2225721</x:v>
      </x:c>
      <x:c r="M155" s="60" t="n">
        <x:v>1138837</x:v>
      </x:c>
      <x:c r="N155" s="63" t="n">
        <x:f>IFERROR(M155/L155,"")</x:f>
        <x:v>0.5116710495160894</x:v>
      </x:c>
      <x:c r="O155" s="62" t="n">
        <x:v>0.1322</x:v>
      </x:c>
      <x:c r="P155" s="62" t="n">
        <x:v>0.026600000000000002</x:v>
      </x:c>
      <x:c r="Q155" s="52" t="str">
        <x:v>https://www.fsa.go.jp/policy/chusho/shihyou.html</x:v>
      </x:c>
    </x:row>
    <x:row r="156">
      <x:c r="A156" s="18" t="n">
        <x:v>155</x:v>
      </x:c>
      <x:c r="B156" s="18" t="str">
        <x:v>半田信用金庫</x:v>
      </x:c>
      <x:c r="C156" s="18" t="str">
        <x:v>半田</x:v>
      </x:c>
      <x:c r="D156" s="18" t="str">
        <x:v>愛知県</x:v>
      </x:c>
      <x:c r="E156" s="18" t="str">
        <x:v>東海</x:v>
      </x:c>
      <x:c r="F156" s="18" t="str">
        <x:v>2025-03-31</x:v>
      </x:c>
      <x:c r="G156" s="18" t="str">
        <x:v>Basic Data Found</x:v>
      </x:c>
      <x:c r="H156" s="18" t="str"/>
      <x:c r="I156" s="18" t="str">
        <x:v>https://www.hanshin-ca.co.jp/009/009-03/0090301-01.html</x:v>
      </x:c>
      <x:c r="J156" s="18" t="str">
        <x:v>https://www.shinkin-central-bank.jp/cgi-bin/s/index.cgi</x:v>
      </x:c>
      <x:c r="K156" s="52" t="n">
        <x:v>1555</x:v>
      </x:c>
      <x:c r="L156" s="60" t="n">
        <x:v>326982</x:v>
      </x:c>
      <x:c r="M156" s="60" t="n">
        <x:v>143353</x:v>
      </x:c>
      <x:c r="N156" s="63" t="n">
        <x:f>IFERROR(M156/L156,"")</x:f>
        <x:v>0.43841251200371884</x:v>
      </x:c>
      <x:c r="O156" s="62" t="n">
        <x:v>0.114</x:v>
      </x:c>
      <x:c r="P156" s="62" t="n">
        <x:v>0.038</x:v>
      </x:c>
      <x:c r="Q156" s="52" t="str">
        <x:v>https://www.fsa.go.jp/policy/chusho/shihyou.html</x:v>
      </x:c>
    </x:row>
    <x:row r="157">
      <x:c r="A157" s="18" t="n">
        <x:v>156</x:v>
      </x:c>
      <x:c r="B157" s="18" t="str">
        <x:v>知多信用金庫</x:v>
      </x:c>
      <x:c r="C157" s="18" t="str">
        <x:v>知多</x:v>
      </x:c>
      <x:c r="D157" s="18" t="str">
        <x:v>愛知県</x:v>
      </x:c>
      <x:c r="E157" s="18" t="str">
        <x:v>東海</x:v>
      </x:c>
      <x:c r="F157" s="18" t="str">
        <x:v>2025-03-31</x:v>
      </x:c>
      <x:c r="G157" s="18" t="str">
        <x:v>Basic Data Found</x:v>
      </x:c>
      <x:c r="H157" s="18" t="str"/>
      <x:c r="I157" s="18" t="str">
        <x:v>https://www.chitashin.co.jp/about/disclosure/book.html</x:v>
      </x:c>
      <x:c r="J157" s="18" t="str">
        <x:v>https://www.shinkin-central-bank.jp/cgi-bin/s/index.cgi</x:v>
      </x:c>
      <x:c r="K157" s="52" t="n">
        <x:v>1556</x:v>
      </x:c>
      <x:c r="L157" s="60" t="n">
        <x:v>898596</x:v>
      </x:c>
      <x:c r="M157" s="60" t="n">
        <x:v>444226</x:v>
      </x:c>
      <x:c r="N157" s="63" t="n">
        <x:f>IFERROR(M157/L157,"")</x:f>
        <x:v>0.4943556392416614</x:v>
      </x:c>
      <x:c r="O157" s="62" t="n">
        <x:v>0.11380000000000001</x:v>
      </x:c>
      <x:c r="P157" s="62" t="n">
        <x:v>0.0394</x:v>
      </x:c>
      <x:c r="Q157" s="52" t="str">
        <x:v>https://www.fsa.go.jp/policy/chusho/shihyou.html</x:v>
      </x:c>
    </x:row>
    <x:row r="158">
      <x:c r="A158" s="18" t="n">
        <x:v>157</x:v>
      </x:c>
      <x:c r="B158" s="18" t="str">
        <x:v>豊川信用金庫</x:v>
      </x:c>
      <x:c r="C158" s="18" t="str">
        <x:v>豊川</x:v>
      </x:c>
      <x:c r="D158" s="18" t="str">
        <x:v>愛知県</x:v>
      </x:c>
      <x:c r="E158" s="18" t="str">
        <x:v>東海</x:v>
      </x:c>
      <x:c r="F158" s="18" t="str">
        <x:v>2025-03-31</x:v>
      </x:c>
      <x:c r="G158" s="18" t="str">
        <x:v>Basic Data Found</x:v>
      </x:c>
      <x:c r="H158" s="18" t="str"/>
      <x:c r="I158" s="18" t="str">
        <x:v>https://www.kawa-shin.co.jp/company_profile/disclosure/index.html</x:v>
      </x:c>
      <x:c r="J158" s="18" t="str">
        <x:v>https://www.shinkin-central-bank.jp/cgi-bin/s/index.cgi</x:v>
      </x:c>
      <x:c r="K158" s="52" t="n">
        <x:v>1557</x:v>
      </x:c>
      <x:c r="L158" s="60" t="n">
        <x:v>858168</x:v>
      </x:c>
      <x:c r="M158" s="60" t="n">
        <x:v>417024</x:v>
      </x:c>
      <x:c r="N158" s="63" t="n">
        <x:f>IFERROR(M158/L158,"")</x:f>
        <x:v>0.4859468076180888</x:v>
      </x:c>
      <x:c r="O158" s="62" t="n">
        <x:v>0.1073</x:v>
      </x:c>
      <x:c r="P158" s="62" t="n">
        <x:v>0.027000000000000003</x:v>
      </x:c>
      <x:c r="Q158" s="52" t="str">
        <x:v>https://www.fsa.go.jp/policy/chusho/shihyou.html</x:v>
      </x:c>
    </x:row>
    <x:row r="159">
      <x:c r="A159" s="18" t="n">
        <x:v>158</x:v>
      </x:c>
      <x:c r="B159" s="18" t="str">
        <x:v>豊田信用金庫</x:v>
      </x:c>
      <x:c r="C159" s="18" t="str">
        <x:v>豊田</x:v>
      </x:c>
      <x:c r="D159" s="18" t="str">
        <x:v>愛知県</x:v>
      </x:c>
      <x:c r="E159" s="18" t="str">
        <x:v>東海</x:v>
      </x:c>
      <x:c r="F159" s="18" t="str">
        <x:v>2025-03-31</x:v>
      </x:c>
      <x:c r="G159" s="18" t="str">
        <x:v>Basic Data Found</x:v>
      </x:c>
      <x:c r="H159" s="18" t="str"/>
      <x:c r="I159" s="18" t="str">
        <x:v>https://www.toyoshin.co.jp/about/disclosure/</x:v>
      </x:c>
      <x:c r="J159" s="18" t="str">
        <x:v>https://www.shinkin-central-bank.jp/cgi-bin/s/index.cgi</x:v>
      </x:c>
      <x:c r="K159" s="52" t="n">
        <x:v>1559</x:v>
      </x:c>
      <x:c r="L159" s="60" t="n">
        <x:v>1887321</x:v>
      </x:c>
      <x:c r="M159" s="60" t="n">
        <x:v>954686</x:v>
      </x:c>
      <x:c r="N159" s="63" t="n">
        <x:f>IFERROR(M159/L159,"")</x:f>
        <x:v>0.5058418785145717</x:v>
      </x:c>
      <x:c r="O159" s="62" t="n">
        <x:v>0.1015</x:v>
      </x:c>
      <x:c r="P159" s="62" t="n">
        <x:v>0.029300000000000003</x:v>
      </x:c>
      <x:c r="Q159" s="52" t="str">
        <x:v>https://www.fsa.go.jp/policy/chusho/shihyou.html</x:v>
      </x:c>
    </x:row>
    <x:row r="160">
      <x:c r="A160" s="18" t="n">
        <x:v>159</x:v>
      </x:c>
      <x:c r="B160" s="18" t="str">
        <x:v>碧海信用金庫</x:v>
      </x:c>
      <x:c r="C160" s="18" t="str">
        <x:v>碧海</x:v>
      </x:c>
      <x:c r="D160" s="18" t="str">
        <x:v>愛知県</x:v>
      </x:c>
      <x:c r="E160" s="18" t="str">
        <x:v>東海</x:v>
      </x:c>
      <x:c r="F160" s="18" t="str">
        <x:v>2025-03-31</x:v>
      </x:c>
      <x:c r="G160" s="18" t="str">
        <x:v>Basic Data Found</x:v>
      </x:c>
      <x:c r="H160" s="18" t="str"/>
      <x:c r="I160" s="18" t="str">
        <x:v>https://www.hekishin.jp/about/disclosure/</x:v>
      </x:c>
      <x:c r="J160" s="18" t="str">
        <x:v>https://www.shinkin-central-bank.jp/cgi-bin/s/index.cgi</x:v>
      </x:c>
      <x:c r="K160" s="52" t="n">
        <x:v>1560</x:v>
      </x:c>
      <x:c r="L160" s="60" t="n">
        <x:v>2319026</x:v>
      </x:c>
      <x:c r="M160" s="60" t="n">
        <x:v>1218100</x:v>
      </x:c>
      <x:c r="N160" s="63" t="n">
        <x:f>IFERROR(M160/L160,"")</x:f>
        <x:v>0.5252636236074972</x:v>
      </x:c>
      <x:c r="O160" s="62" t="n">
        <x:v>0.155</x:v>
      </x:c>
      <x:c r="P160" s="62" t="n">
        <x:v>0.029500000000000002</x:v>
      </x:c>
      <x:c r="Q160" s="52" t="str">
        <x:v>https://www.fsa.go.jp/policy/chusho/shihyou.html</x:v>
      </x:c>
    </x:row>
    <x:row r="161">
      <x:c r="A161" s="18" t="n">
        <x:v>160</x:v>
      </x:c>
      <x:c r="B161" s="18" t="str">
        <x:v>西尾信用金庫</x:v>
      </x:c>
      <x:c r="C161" s="18" t="str">
        <x:v>西尾</x:v>
      </x:c>
      <x:c r="D161" s="18" t="str">
        <x:v>愛知県</x:v>
      </x:c>
      <x:c r="E161" s="18" t="str">
        <x:v>東海</x:v>
      </x:c>
      <x:c r="F161" s="18" t="str">
        <x:v>2025-03-31</x:v>
      </x:c>
      <x:c r="G161" s="18" t="str">
        <x:v>Basic Data Found</x:v>
      </x:c>
      <x:c r="H161" s="18" t="str"/>
      <x:c r="I161" s="18" t="str">
        <x:v>https://www.shinkin.co.jp/nishio/nishishin/disclosure/index.html</x:v>
      </x:c>
      <x:c r="J161" s="18" t="str">
        <x:v>https://www.shinkin-central-bank.jp/cgi-bin/s/index.cgi</x:v>
      </x:c>
      <x:c r="K161" s="52" t="n">
        <x:v>1561</x:v>
      </x:c>
      <x:c r="L161" s="60" t="n">
        <x:v>1512950</x:v>
      </x:c>
      <x:c r="M161" s="60" t="n">
        <x:v>774919</x:v>
      </x:c>
      <x:c r="N161" s="63" t="n">
        <x:f>IFERROR(M161/L161,"")</x:f>
        <x:v>0.5121907531643478</x:v>
      </x:c>
      <x:c r="O161" s="62" t="n">
        <x:v>0.1703</x:v>
      </x:c>
      <x:c r="P161" s="62" t="n">
        <x:v>0.042300000000000004</x:v>
      </x:c>
      <x:c r="Q161" s="52" t="str">
        <x:v>https://www.fsa.go.jp/policy/chusho/shihyou.html</x:v>
      </x:c>
    </x:row>
    <x:row r="162">
      <x:c r="A162" s="18" t="n">
        <x:v>161</x:v>
      </x:c>
      <x:c r="B162" s="18" t="str">
        <x:v>蒲郡信用金庫</x:v>
      </x:c>
      <x:c r="C162" s="18" t="str">
        <x:v>蒲郡</x:v>
      </x:c>
      <x:c r="D162" s="18" t="str">
        <x:v>愛知県</x:v>
      </x:c>
      <x:c r="E162" s="18" t="str">
        <x:v>東海</x:v>
      </x:c>
      <x:c r="F162" s="18" t="str">
        <x:v>2025-03-31</x:v>
      </x:c>
      <x:c r="G162" s="18" t="str">
        <x:v>Basic Data Found</x:v>
      </x:c>
      <x:c r="H162" s="18" t="str"/>
      <x:c r="I162" s="18" t="str">
        <x:v>https://www.gamashin.com/com_about/2024020716263709.html</x:v>
      </x:c>
      <x:c r="J162" s="18" t="str">
        <x:v>https://www.shinkin-central-bank.jp/cgi-bin/s/index.cgi</x:v>
      </x:c>
      <x:c r="K162" s="52" t="n">
        <x:v>1562</x:v>
      </x:c>
      <x:c r="L162" s="60" t="n">
        <x:v>1450753</x:v>
      </x:c>
      <x:c r="M162" s="60" t="n">
        <x:v>627250</x:v>
      </x:c>
      <x:c r="N162" s="63" t="n">
        <x:f>IFERROR(M162/L162,"")</x:f>
        <x:v>0.432361677004976</x:v>
      </x:c>
      <x:c r="O162" s="62" t="n">
        <x:v>0.14</x:v>
      </x:c>
      <x:c r="P162" s="62" t="n">
        <x:v>0.0416</x:v>
      </x:c>
      <x:c r="Q162" s="52" t="str">
        <x:v>https://www.fsa.go.jp/policy/chusho/shihyou.html</x:v>
      </x:c>
    </x:row>
    <x:row r="163">
      <x:c r="A163" s="18" t="n">
        <x:v>162</x:v>
      </x:c>
      <x:c r="B163" s="18" t="str">
        <x:v>尾西信用金庫</x:v>
      </x:c>
      <x:c r="C163" s="18" t="str">
        <x:v>尾西</x:v>
      </x:c>
      <x:c r="D163" s="18" t="str">
        <x:v>愛知県</x:v>
      </x:c>
      <x:c r="E163" s="18" t="str">
        <x:v>東海</x:v>
      </x:c>
      <x:c r="F163" s="18" t="str">
        <x:v>2025-03-31</x:v>
      </x:c>
      <x:c r="G163" s="18" t="str">
        <x:v>Basic Data Found</x:v>
      </x:c>
      <x:c r="H163" s="18" t="str"/>
      <x:c r="I163" s="18" t="str">
        <x:v>https://www.bi-shin.co.jp/disc.html</x:v>
      </x:c>
      <x:c r="J163" s="18" t="str">
        <x:v>https://www.shinkin-central-bank.jp/cgi-bin/s/index.cgi</x:v>
      </x:c>
      <x:c r="K163" s="52" t="n">
        <x:v>1563</x:v>
      </x:c>
      <x:c r="L163" s="60" t="n">
        <x:v>519367</x:v>
      </x:c>
      <x:c r="M163" s="60" t="n">
        <x:v>261776</x:v>
      </x:c>
      <x:c r="N163" s="63" t="n">
        <x:f>IFERROR(M163/L163,"")</x:f>
        <x:v>0.5040289429247526</x:v>
      </x:c>
      <x:c r="O163" s="62" t="n">
        <x:v>0.0984</x:v>
      </x:c>
      <x:c r="P163" s="62" t="n">
        <x:v>0.0168</x:v>
      </x:c>
      <x:c r="Q163" s="52" t="str">
        <x:v>https://www.fsa.go.jp/policy/chusho/shihyou.html</x:v>
      </x:c>
    </x:row>
    <x:row r="164">
      <x:c r="A164" s="18" t="n">
        <x:v>163</x:v>
      </x:c>
      <x:c r="B164" s="18" t="str">
        <x:v>中日信用金庫</x:v>
      </x:c>
      <x:c r="C164" s="18" t="str">
        <x:v>中日</x:v>
      </x:c>
      <x:c r="D164" s="18" t="str">
        <x:v>愛知県</x:v>
      </x:c>
      <x:c r="E164" s="18" t="str">
        <x:v>東海</x:v>
      </x:c>
      <x:c r="F164" s="18" t="str">
        <x:v>2025-03-31</x:v>
      </x:c>
      <x:c r="G164" s="18" t="str">
        <x:v>Basic Data Found</x:v>
      </x:c>
      <x:c r="H164" s="18" t="str"/>
      <x:c r="I164" s="18" t="str">
        <x:v>https://www.shinkin.co.jp/chunichi/about/disclose/disclose_index.html</x:v>
      </x:c>
      <x:c r="J164" s="18" t="str">
        <x:v>https://www.shinkin-central-bank.jp/cgi-bin/s/index.cgi</x:v>
      </x:c>
      <x:c r="K164" s="52" t="n">
        <x:v>1565</x:v>
      </x:c>
      <x:c r="L164" s="60" t="n">
        <x:v>341925</x:v>
      </x:c>
      <x:c r="M164" s="60" t="n">
        <x:v>180207</x:v>
      </x:c>
      <x:c r="N164" s="63" t="n">
        <x:f>IFERROR(M164/L164,"")</x:f>
        <x:v>0.5270366308400966</x:v>
      </x:c>
      <x:c r="O164" s="62" t="n">
        <x:v>0.1121</x:v>
      </x:c>
      <x:c r="P164" s="62" t="n">
        <x:v>0.041299999999999996</x:v>
      </x:c>
      <x:c r="Q164" s="52" t="str">
        <x:v>https://www.fsa.go.jp/policy/chusho/shihyou.html</x:v>
      </x:c>
    </x:row>
    <x:row r="165">
      <x:c r="A165" s="18" t="n">
        <x:v>164</x:v>
      </x:c>
      <x:c r="B165" s="18" t="str">
        <x:v>東春信用金庫</x:v>
      </x:c>
      <x:c r="C165" s="18" t="str">
        <x:v>東春</x:v>
      </x:c>
      <x:c r="D165" s="18" t="str">
        <x:v>愛知県</x:v>
      </x:c>
      <x:c r="E165" s="18" t="str">
        <x:v>東海</x:v>
      </x:c>
      <x:c r="F165" s="18" t="str">
        <x:v>2025-03-31</x:v>
      </x:c>
      <x:c r="G165" s="18" t="str">
        <x:v>Basic Data Found</x:v>
      </x:c>
      <x:c r="H165" s="18" t="str"/>
      <x:c r="I165" s="18" t="str">
        <x:v>https://www.shinkin.co.jp/toshun/disclo/</x:v>
      </x:c>
      <x:c r="J165" s="18" t="str">
        <x:v>https://www.shinkin-central-bank.jp/cgi-bin/s/index.cgi</x:v>
      </x:c>
      <x:c r="K165" s="52" t="n">
        <x:v>1566</x:v>
      </x:c>
      <x:c r="L165" s="60" t="n">
        <x:v>307087</x:v>
      </x:c>
      <x:c r="M165" s="60" t="n">
        <x:v>149007</x:v>
      </x:c>
      <x:c r="N165" s="63" t="n">
        <x:f>IFERROR(M165/L165,"")</x:f>
        <x:v>0.4852273134323498</x:v>
      </x:c>
      <x:c r="O165" s="62" t="n">
        <x:v>0.11689999999999999</x:v>
      </x:c>
      <x:c r="P165" s="62" t="n">
        <x:v>0.0158</x:v>
      </x:c>
      <x:c r="Q165" s="52" t="str">
        <x:v>https://www.fsa.go.jp/policy/chusho/shihyou.html</x:v>
      </x:c>
    </x:row>
    <x:row r="166">
      <x:c r="A166" s="18" t="n">
        <x:v>165</x:v>
      </x:c>
      <x:c r="B166" s="18" t="str">
        <x:v>津信用金庫</x:v>
      </x:c>
      <x:c r="C166" s="18" t="str">
        <x:v>津</x:v>
      </x:c>
      <x:c r="D166" s="18" t="str">
        <x:v>三重県</x:v>
      </x:c>
      <x:c r="E166" s="18" t="str">
        <x:v>東海</x:v>
      </x:c>
      <x:c r="F166" s="18" t="str">
        <x:v>2025-03-31</x:v>
      </x:c>
      <x:c r="G166" s="18" t="str">
        <x:v>IRRBB Found</x:v>
      </x:c>
      <x:c r="H166" s="18" t="str"/>
      <x:c r="I166" s="18" t="str">
        <x:v>http://www.tsushinkin.co.jp/html/disc.htm</x:v>
      </x:c>
      <x:c r="J166" s="18" t="str">
        <x:v>https://www.shinkin-central-bank.jp/cgi-bin/s/index.cgi</x:v>
      </x:c>
      <x:c r="K166" s="52" t="n">
        <x:v>1580</x:v>
      </x:c>
      <x:c r="L166" s="60" t="n">
        <x:v>85664</x:v>
      </x:c>
      <x:c r="M166" s="60" t="n">
        <x:v>16446</x:v>
      </x:c>
      <x:c r="N166" s="63" t="n">
        <x:f>IFERROR(M166/L166,"")</x:f>
        <x:v>0.19198262980948824</x:v>
      </x:c>
      <x:c r="O166" s="62" t="n">
        <x:v>0.2284</x:v>
      </x:c>
      <x:c r="P166" s="62" t="n">
        <x:v>0.0455</x:v>
      </x:c>
      <x:c r="Q166" s="52" t="str">
        <x:v>https://www.fsa.go.jp/policy/chusho/shihyou.html</x:v>
      </x:c>
    </x:row>
    <x:row r="167">
      <x:c r="A167" s="18" t="n">
        <x:v>166</x:v>
      </x:c>
      <x:c r="B167" s="18" t="str">
        <x:v>北伊勢上野信用金庫</x:v>
      </x:c>
      <x:c r="C167" s="18" t="str">
        <x:v>北伊勢上野</x:v>
      </x:c>
      <x:c r="D167" s="18" t="str">
        <x:v>三重県</x:v>
      </x:c>
      <x:c r="E167" s="18" t="str">
        <x:v>東海</x:v>
      </x:c>
      <x:c r="F167" s="18" t="str">
        <x:v>2025-03-31</x:v>
      </x:c>
      <x:c r="G167" s="18" t="str">
        <x:v>Basic Data Found</x:v>
      </x:c>
      <x:c r="H167" s="18" t="str"/>
      <x:c r="I167" s="18" t="str">
        <x:v>https://www.kitaiseueno-shinkin.jp/about/disclosure/</x:v>
      </x:c>
      <x:c r="J167" s="18" t="str">
        <x:v>https://www.shinkin-central-bank.jp/cgi-bin/s/index.cgi</x:v>
      </x:c>
      <x:c r="K167" s="52" t="n">
        <x:v>1581</x:v>
      </x:c>
      <x:c r="L167" s="60" t="n">
        <x:v>410176</x:v>
      </x:c>
      <x:c r="M167" s="60" t="n">
        <x:v>222597</x:v>
      </x:c>
      <x:c r="N167" s="63" t="n">
        <x:f>IFERROR(M167/L167,"")</x:f>
        <x:v>0.5426865540645966</x:v>
      </x:c>
      <x:c r="O167" s="62" t="n">
        <x:v>0.1061</x:v>
      </x:c>
      <x:c r="P167" s="62" t="n">
        <x:v>0.0481</x:v>
      </x:c>
      <x:c r="Q167" s="52" t="str">
        <x:v>https://www.fsa.go.jp/policy/chusho/shihyou.html</x:v>
      </x:c>
    </x:row>
    <x:row r="168">
      <x:c r="A168" s="18" t="n">
        <x:v>167</x:v>
      </x:c>
      <x:c r="B168" s="18" t="str">
        <x:v>桑名三重信用金庫</x:v>
      </x:c>
      <x:c r="C168" s="18" t="str">
        <x:v>桑名三重</x:v>
      </x:c>
      <x:c r="D168" s="18" t="str">
        <x:v>三重県</x:v>
      </x:c>
      <x:c r="E168" s="18" t="str">
        <x:v>東海</x:v>
      </x:c>
      <x:c r="F168" s="18" t="str">
        <x:v>2025-03-31</x:v>
      </x:c>
      <x:c r="G168" s="18" t="str">
        <x:v>Basic Data Found</x:v>
      </x:c>
      <x:c r="H168" s="18" t="str"/>
      <x:c r="I168" s="18" t="str">
        <x:v>https://www.shinkin.co.jp/kuwanamie/about/disclosure/</x:v>
      </x:c>
      <x:c r="J168" s="18" t="str">
        <x:v>https://www.shinkin-central-bank.jp/cgi-bin/s/index.cgi</x:v>
      </x:c>
      <x:c r="K168" s="52" t="n">
        <x:v>1583</x:v>
      </x:c>
      <x:c r="L168" s="60" t="n">
        <x:v>782188</x:v>
      </x:c>
      <x:c r="M168" s="60" t="n">
        <x:v>325649</x:v>
      </x:c>
      <x:c r="N168" s="63" t="n">
        <x:f>IFERROR(M168/L168,"")</x:f>
        <x:v>0.41633085652042734</x:v>
      </x:c>
      <x:c r="O168" s="62" t="n">
        <x:v>0.1609</x:v>
      </x:c>
      <x:c r="P168" s="62" t="n">
        <x:v>0.050199999999999995</x:v>
      </x:c>
      <x:c r="Q168" s="52" t="str">
        <x:v>https://www.fsa.go.jp/policy/chusho/shihyou.html</x:v>
      </x:c>
    </x:row>
    <x:row r="169">
      <x:c r="A169" s="18" t="n">
        <x:v>168</x:v>
      </x:c>
      <x:c r="B169" s="18" t="str">
        <x:v>紀北信用金庫</x:v>
      </x:c>
      <x:c r="C169" s="18" t="str">
        <x:v>紀北</x:v>
      </x:c>
      <x:c r="D169" s="18" t="str">
        <x:v>三重県</x:v>
      </x:c>
      <x:c r="E169" s="18" t="str">
        <x:v>東海</x:v>
      </x:c>
      <x:c r="F169" s="18" t="str">
        <x:v>2025-03-31</x:v>
      </x:c>
      <x:c r="G169" s="18" t="str">
        <x:v>IRRBB Found</x:v>
      </x:c>
      <x:c r="H169" s="18" t="str"/>
      <x:c r="I169" s="18" t="str">
        <x:v>https://www.shinkin.co.jp/kihoku/etc_disclosure.html</x:v>
      </x:c>
      <x:c r="J169" s="18" t="str">
        <x:v>https://www.shinkin-central-bank.jp/cgi-bin/s/index.cgi</x:v>
      </x:c>
      <x:c r="K169" s="52" t="n">
        <x:v>1585</x:v>
      </x:c>
      <x:c r="L169" s="60" t="n">
        <x:v>89949</x:v>
      </x:c>
      <x:c r="M169" s="60" t="n">
        <x:v>21172</x:v>
      </x:c>
      <x:c r="N169" s="63" t="n">
        <x:f>IFERROR(M169/L169,"")</x:f>
        <x:v>0.2353778252120646</x:v>
      </x:c>
      <x:c r="O169" s="62" t="n">
        <x:v>0.332</x:v>
      </x:c>
      <x:c r="P169" s="62" t="n">
        <x:v>0.06280000000000001</x:v>
      </x:c>
      <x:c r="Q169" s="52" t="str">
        <x:v>https://www.fsa.go.jp/policy/chusho/shihyou.html</x:v>
      </x:c>
    </x:row>
    <x:row r="170">
      <x:c r="A170" s="18" t="n">
        <x:v>169</x:v>
      </x:c>
      <x:c r="B170" s="18" t="str">
        <x:v>滋賀中央信用金庫</x:v>
      </x:c>
      <x:c r="C170" s="18" t="str">
        <x:v>滋賀中央</x:v>
      </x:c>
      <x:c r="D170" s="18" t="str">
        <x:v>滋賀県</x:v>
      </x:c>
      <x:c r="E170" s="18" t="str">
        <x:v>近畿</x:v>
      </x:c>
      <x:c r="F170" s="18" t="str">
        <x:v>2025-03-31</x:v>
      </x:c>
      <x:c r="G170" s="18" t="str">
        <x:v>Basic Data Found</x:v>
      </x:c>
      <x:c r="H170" s="18" t="str"/>
      <x:c r="I170" s="18" t="str">
        <x:v>https://www.shigachushin.jp/about/disclosure.php</x:v>
      </x:c>
      <x:c r="J170" s="18" t="str">
        <x:v>https://www.shinkin-central-bank.jp/cgi-bin/s/index.cgi</x:v>
      </x:c>
      <x:c r="K170" s="52" t="n">
        <x:v>1602</x:v>
      </x:c>
      <x:c r="L170" s="60" t="n">
        <x:v>475674</x:v>
      </x:c>
      <x:c r="M170" s="60" t="n">
        <x:v>273772</x:v>
      </x:c>
      <x:c r="N170" s="63" t="n">
        <x:f>IFERROR(M170/L170,"")</x:f>
        <x:v>0.5755454365805153</x:v>
      </x:c>
      <x:c r="O170" s="62" t="n">
        <x:v>0.102</x:v>
      </x:c>
      <x:c r="P170" s="62" t="n">
        <x:v>0.0351</x:v>
      </x:c>
      <x:c r="Q170" s="52" t="str">
        <x:v>https://www.fsa.go.jp/policy/chusho/shihyou.html</x:v>
      </x:c>
    </x:row>
    <x:row r="171">
      <x:c r="A171" s="18" t="n">
        <x:v>170</x:v>
      </x:c>
      <x:c r="B171" s="18" t="str">
        <x:v>長浜信用金庫</x:v>
      </x:c>
      <x:c r="C171" s="18" t="str">
        <x:v>長浜</x:v>
      </x:c>
      <x:c r="D171" s="18" t="str">
        <x:v>滋賀県</x:v>
      </x:c>
      <x:c r="E171" s="18" t="str">
        <x:v>近畿</x:v>
      </x:c>
      <x:c r="F171" s="18" t="str">
        <x:v>2025-03-31</x:v>
      </x:c>
      <x:c r="G171" s="18" t="str">
        <x:v>Basic Data Found</x:v>
      </x:c>
      <x:c r="H171" s="18" t="str"/>
      <x:c r="I171" s="18" t="str">
        <x:v>https://www.nagashin.co.jp/about/disclosure.html</x:v>
      </x:c>
      <x:c r="J171" s="18" t="str">
        <x:v>https://www.shinkin-central-bank.jp/cgi-bin/s/index.cgi</x:v>
      </x:c>
      <x:c r="K171" s="52" t="n">
        <x:v>1603</x:v>
      </x:c>
      <x:c r="L171" s="60" t="n">
        <x:v>392084</x:v>
      </x:c>
      <x:c r="M171" s="60" t="n">
        <x:v>148444</x:v>
      </x:c>
      <x:c r="N171" s="63" t="n">
        <x:f>IFERROR(M171/L171,"")</x:f>
        <x:v>0.37860254435274077</x:v>
      </x:c>
      <x:c r="O171" s="62" t="n">
        <x:v>0.19899999999999998</x:v>
      </x:c>
      <x:c r="P171" s="62" t="n">
        <x:v>0.0458</x:v>
      </x:c>
      <x:c r="Q171" s="52" t="str">
        <x:v>https://www.fsa.go.jp/policy/chusho/shihyou.html</x:v>
      </x:c>
    </x:row>
    <x:row r="172">
      <x:c r="A172" s="18" t="n">
        <x:v>171</x:v>
      </x:c>
      <x:c r="B172" s="18" t="str">
        <x:v>湖東信用金庫</x:v>
      </x:c>
      <x:c r="C172" s="18" t="str">
        <x:v>湖東</x:v>
      </x:c>
      <x:c r="D172" s="18" t="str">
        <x:v>滋賀県</x:v>
      </x:c>
      <x:c r="E172" s="18" t="str">
        <x:v>近畿</x:v>
      </x:c>
      <x:c r="F172" s="18" t="str">
        <x:v>2025-03-31</x:v>
      </x:c>
      <x:c r="G172" s="18" t="str">
        <x:v>Basic Data Found</x:v>
      </x:c>
      <x:c r="H172" s="18" t="str"/>
      <x:c r="I172" s="18" t="str">
        <x:v>https://www.shinkin.co.jp/kotoshin/company/disclosure/</x:v>
      </x:c>
      <x:c r="J172" s="18" t="str">
        <x:v>https://www.shinkin-central-bank.jp/cgi-bin/s/index.cgi</x:v>
      </x:c>
      <x:c r="K172" s="52" t="n">
        <x:v>1604</x:v>
      </x:c>
      <x:c r="L172" s="60" t="n">
        <x:v>214580</x:v>
      </x:c>
      <x:c r="M172" s="60" t="n">
        <x:v>94665</x:v>
      </x:c>
      <x:c r="N172" s="63" t="n">
        <x:f>IFERROR(M172/L172,"")</x:f>
        <x:v>0.44116413458849846</x:v>
      </x:c>
      <x:c r="O172" s="62" t="n">
        <x:v>0.13570000000000002</x:v>
      </x:c>
      <x:c r="P172" s="62" t="n">
        <x:v>0.050499999999999996</x:v>
      </x:c>
      <x:c r="Q172" s="52" t="str">
        <x:v>https://www.fsa.go.jp/policy/chusho/shihyou.html</x:v>
      </x:c>
    </x:row>
    <x:row r="173">
      <x:c r="A173" s="18" t="n">
        <x:v>172</x:v>
      </x:c>
      <x:c r="B173" s="18" t="str">
        <x:v>京都信用金庫</x:v>
      </x:c>
      <x:c r="C173" s="18" t="str">
        <x:v>京都</x:v>
      </x:c>
      <x:c r="D173" s="18" t="str">
        <x:v>京都府</x:v>
      </x:c>
      <x:c r="E173" s="18" t="str">
        <x:v>近畿</x:v>
      </x:c>
      <x:c r="F173" s="18" t="str">
        <x:v>2025-03-31</x:v>
      </x:c>
      <x:c r="G173" s="18" t="str">
        <x:v>Basic Data Found</x:v>
      </x:c>
      <x:c r="H173" s="18" t="str"/>
      <x:c r="I173" s="18" t="str">
        <x:v>https://www.kyoto-shinkin.co.jp/about/disclosure/</x:v>
      </x:c>
      <x:c r="J173" s="18" t="str">
        <x:v>https://www.shinkin-central-bank.jp/cgi-bin/s/index.cgi</x:v>
      </x:c>
      <x:c r="K173" s="52" t="n">
        <x:v>1610</x:v>
      </x:c>
      <x:c r="L173" s="60" t="n">
        <x:v>2861872</x:v>
      </x:c>
      <x:c r="M173" s="60" t="n">
        <x:v>1865408</x:v>
      </x:c>
      <x:c r="N173" s="63" t="n">
        <x:f>IFERROR(M173/L173,"")</x:f>
        <x:v>0.6518139176035825</x:v>
      </x:c>
      <x:c r="O173" s="62" t="n">
        <x:v>0.084</x:v>
      </x:c>
      <x:c r="P173" s="62" t="n">
        <x:v>0.0535</x:v>
      </x:c>
      <x:c r="Q173" s="52" t="str">
        <x:v>https://www.fsa.go.jp/policy/chusho/shihyou.html</x:v>
      </x:c>
    </x:row>
    <x:row r="174">
      <x:c r="A174" s="18" t="n">
        <x:v>173</x:v>
      </x:c>
      <x:c r="B174" s="18" t="str">
        <x:v>京都中央信用金庫</x:v>
      </x:c>
      <x:c r="C174" s="18" t="str">
        <x:v>京都中央</x:v>
      </x:c>
      <x:c r="D174" s="18" t="str">
        <x:v>京都府</x:v>
      </x:c>
      <x:c r="E174" s="18" t="str">
        <x:v>近畿</x:v>
      </x:c>
      <x:c r="F174" s="18" t="str">
        <x:v>2025-03-31</x:v>
      </x:c>
      <x:c r="G174" s="18" t="str">
        <x:v>Basic Data Found</x:v>
      </x:c>
      <x:c r="H174" s="18" t="str"/>
      <x:c r="I174" s="18" t="str">
        <x:v>https://www.chushin.co.jp/about/disclosure/</x:v>
      </x:c>
      <x:c r="J174" s="18" t="str">
        <x:v>https://www.shinkin-central-bank.jp/cgi-bin/s/index.cgi</x:v>
      </x:c>
      <x:c r="K174" s="52" t="n">
        <x:v>1611</x:v>
      </x:c>
      <x:c r="L174" s="60" t="n">
        <x:v>5405630</x:v>
      </x:c>
      <x:c r="M174" s="60" t="n">
        <x:v>3415554</x:v>
      </x:c>
      <x:c r="N174" s="63" t="n">
        <x:f>IFERROR(M174/L174,"")</x:f>
        <x:v>0.6318512365811201</x:v>
      </x:c>
      <x:c r="O174" s="62" t="n">
        <x:v>0.1124</x:v>
      </x:c>
      <x:c r="P174" s="62" t="n">
        <x:v>0.0191</x:v>
      </x:c>
      <x:c r="Q174" s="52" t="str">
        <x:v>https://www.fsa.go.jp/policy/chusho/shihyou.html</x:v>
      </x:c>
    </x:row>
    <x:row r="175">
      <x:c r="A175" s="18" t="n">
        <x:v>174</x:v>
      </x:c>
      <x:c r="B175" s="18" t="str">
        <x:v>京都北都信用金庫</x:v>
      </x:c>
      <x:c r="C175" s="18" t="str">
        <x:v>京都北都</x:v>
      </x:c>
      <x:c r="D175" s="18" t="str">
        <x:v>京都府</x:v>
      </x:c>
      <x:c r="E175" s="18" t="str">
        <x:v>近畿</x:v>
      </x:c>
      <x:c r="F175" s="18" t="str">
        <x:v>2025-03-31</x:v>
      </x:c>
      <x:c r="G175" s="18" t="str">
        <x:v>Basic Data Found</x:v>
      </x:c>
      <x:c r="H175" s="18" t="str"/>
      <x:c r="I175" s="18" t="str">
        <x:v>https://www.hokuto-shinkin.co.jp/company/company07.shtml</x:v>
      </x:c>
      <x:c r="J175" s="18" t="str">
        <x:v>https://www.shinkin-central-bank.jp/cgi-bin/s/index.cgi</x:v>
      </x:c>
      <x:c r="K175" s="52" t="n">
        <x:v>1620</x:v>
      </x:c>
      <x:c r="L175" s="60" t="n">
        <x:v>814154</x:v>
      </x:c>
      <x:c r="M175" s="60" t="n">
        <x:v>368870</x:v>
      </x:c>
      <x:c r="N175" s="63" t="n">
        <x:f>IFERROR(M175/L175,"")</x:f>
        <x:v>0.45307153192147925</x:v>
      </x:c>
      <x:c r="O175" s="62" t="n">
        <x:v>0.0907</x:v>
      </x:c>
      <x:c r="P175" s="62" t="n">
        <x:v>0.0529</x:v>
      </x:c>
      <x:c r="Q175" s="52" t="str">
        <x:v>https://www.fsa.go.jp/policy/chusho/shihyou.html</x:v>
      </x:c>
    </x:row>
    <x:row r="176">
      <x:c r="A176" s="18" t="n">
        <x:v>175</x:v>
      </x:c>
      <x:c r="B176" s="18" t="str">
        <x:v>大阪信用金庫</x:v>
      </x:c>
      <x:c r="C176" s="18" t="str">
        <x:v>大阪</x:v>
      </x:c>
      <x:c r="D176" s="18" t="str">
        <x:v>大阪府</x:v>
      </x:c>
      <x:c r="E176" s="18" t="str">
        <x:v>近畿</x:v>
      </x:c>
      <x:c r="F176" s="18" t="str">
        <x:v>2025-03-31</x:v>
      </x:c>
      <x:c r="G176" s="18" t="str">
        <x:v>Basic Data Found</x:v>
      </x:c>
      <x:c r="H176" s="18" t="str"/>
      <x:c r="I176" s="18" t="str">
        <x:v>https://www.osaka-shinkin.co.jp/companyinfo/index.html</x:v>
      </x:c>
      <x:c r="J176" s="18" t="str">
        <x:v>https://www.shinkin-central-bank.jp/cgi-bin/s/index.cgi</x:v>
      </x:c>
      <x:c r="K176" s="52" t="n">
        <x:v>1630</x:v>
      </x:c>
      <x:c r="L176" s="60" t="n">
        <x:v>2535338</x:v>
      </x:c>
      <x:c r="M176" s="60" t="n">
        <x:v>1586324</x:v>
      </x:c>
      <x:c r="N176" s="63" t="n">
        <x:f>IFERROR(M176/L176,"")</x:f>
        <x:v>0.6256854115703705</x:v>
      </x:c>
      <x:c r="O176" s="62" t="n">
        <x:v>0.1439</x:v>
      </x:c>
      <x:c r="P176" s="62" t="n">
        <x:v>0.06860000000000001</x:v>
      </x:c>
      <x:c r="Q176" s="52" t="str">
        <x:v>https://www.fsa.go.jp/policy/chusho/shihyou.html</x:v>
      </x:c>
    </x:row>
    <x:row r="177">
      <x:c r="A177" s="18" t="n">
        <x:v>176</x:v>
      </x:c>
      <x:c r="B177" s="18" t="str">
        <x:v>大阪厚生信用金庫</x:v>
      </x:c>
      <x:c r="C177" s="18" t="str">
        <x:v>大阪厚生</x:v>
      </x:c>
      <x:c r="D177" s="18" t="str">
        <x:v>大阪府</x:v>
      </x:c>
      <x:c r="E177" s="18" t="str">
        <x:v>近畿</x:v>
      </x:c>
      <x:c r="F177" s="18" t="str">
        <x:v>2025-03-31</x:v>
      </x:c>
      <x:c r="G177" s="18" t="str">
        <x:v>Basic Data Found</x:v>
      </x:c>
      <x:c r="H177" s="18" t="str"/>
      <x:c r="I177" s="18" t="str">
        <x:v>http://www.co-sei.co.jp/aboutus/abus05.html</x:v>
      </x:c>
      <x:c r="J177" s="18" t="str">
        <x:v>https://www.shinkin-central-bank.jp/cgi-bin/s/index.cgi</x:v>
      </x:c>
      <x:c r="K177" s="52" t="n">
        <x:v>1633</x:v>
      </x:c>
      <x:c r="L177" s="60" t="n">
        <x:v>1582485</x:v>
      </x:c>
      <x:c r="M177" s="60" t="n">
        <x:v>703985</x:v>
      </x:c>
      <x:c r="N177" s="63" t="n">
        <x:f>IFERROR(M177/L177,"")</x:f>
        <x:v>0.44486045681317676</x:v>
      </x:c>
      <x:c r="O177" s="62" t="n">
        <x:v>0.1711</x:v>
      </x:c>
      <x:c r="P177" s="62" t="n">
        <x:v>0.0496</x:v>
      </x:c>
      <x:c r="Q177" s="52" t="str">
        <x:v>https://www.fsa.go.jp/policy/chusho/shihyou.html</x:v>
      </x:c>
    </x:row>
    <x:row r="178">
      <x:c r="A178" s="18" t="n">
        <x:v>177</x:v>
      </x:c>
      <x:c r="B178" s="18" t="str">
        <x:v>大阪シティ信用金庫</x:v>
      </x:c>
      <x:c r="C178" s="18" t="str">
        <x:v>大阪シティ</x:v>
      </x:c>
      <x:c r="D178" s="18" t="str">
        <x:v>大阪府</x:v>
      </x:c>
      <x:c r="E178" s="18" t="str">
        <x:v>近畿</x:v>
      </x:c>
      <x:c r="F178" s="18" t="str">
        <x:v>2025-03-31</x:v>
      </x:c>
      <x:c r="G178" s="18" t="str">
        <x:v>Basic Data Found</x:v>
      </x:c>
      <x:c r="H178" s="18" t="str"/>
      <x:c r="I178" s="18" t="str">
        <x:v>https://www.osaka-city-shinkin.co.jp/company/disclosure.html</x:v>
      </x:c>
      <x:c r="J178" s="18" t="str">
        <x:v>https://www.shinkin-central-bank.jp/cgi-bin/s/index.cgi</x:v>
      </x:c>
      <x:c r="K178" s="52" t="n">
        <x:v>1635</x:v>
      </x:c>
      <x:c r="L178" s="60" t="n">
        <x:v>2572021</x:v>
      </x:c>
      <x:c r="M178" s="60" t="n">
        <x:v>1412490</x:v>
      </x:c>
      <x:c r="N178" s="63" t="n">
        <x:f>IFERROR(M178/L178,"")</x:f>
        <x:v>0.549175142815708</x:v>
      </x:c>
      <x:c r="O178" s="62" t="n">
        <x:v>0.1114</x:v>
      </x:c>
      <x:c r="P178" s="62" t="n">
        <x:v>0.0625</x:v>
      </x:c>
      <x:c r="Q178" s="52" t="str">
        <x:v>https://www.fsa.go.jp/policy/chusho/shihyou.html</x:v>
      </x:c>
    </x:row>
    <x:row r="179">
      <x:c r="A179" s="18" t="n">
        <x:v>178</x:v>
      </x:c>
      <x:c r="B179" s="18" t="str">
        <x:v>大阪商工信用金庫</x:v>
      </x:c>
      <x:c r="C179" s="18" t="str">
        <x:v>大阪商工</x:v>
      </x:c>
      <x:c r="D179" s="18" t="str">
        <x:v>大阪府</x:v>
      </x:c>
      <x:c r="E179" s="18" t="str">
        <x:v>近畿</x:v>
      </x:c>
      <x:c r="F179" s="18" t="str">
        <x:v>2025-03-31</x:v>
      </x:c>
      <x:c r="G179" s="18" t="str">
        <x:v>Basic Data Found</x:v>
      </x:c>
      <x:c r="H179" s="18" t="str"/>
      <x:c r="I179" s="18" t="str">
        <x:v>https://www.osaka-shoko.co.jp/about/disclosure/</x:v>
      </x:c>
      <x:c r="J179" s="18" t="str">
        <x:v>https://www.shinkin-central-bank.jp/cgi-bin/s/index.cgi</x:v>
      </x:c>
      <x:c r="K179" s="52" t="n">
        <x:v>1636</x:v>
      </x:c>
      <x:c r="L179" s="60" t="n">
        <x:v>738654</x:v>
      </x:c>
      <x:c r="M179" s="60" t="n">
        <x:v>520903</x:v>
      </x:c>
      <x:c r="N179" s="63" t="n">
        <x:f>IFERROR(M179/L179,"")</x:f>
        <x:v>0.7052056849350304</x:v>
      </x:c>
      <x:c r="O179" s="62" t="n">
        <x:v>0.1128</x:v>
      </x:c>
      <x:c r="P179" s="62" t="n">
        <x:v>0.0363</x:v>
      </x:c>
      <x:c r="Q179" s="52" t="str">
        <x:v>https://www.fsa.go.jp/policy/chusho/shihyou.html</x:v>
      </x:c>
    </x:row>
    <x:row r="180">
      <x:c r="A180" s="18" t="n">
        <x:v>179</x:v>
      </x:c>
      <x:c r="B180" s="18" t="str">
        <x:v>永和信用金庫</x:v>
      </x:c>
      <x:c r="C180" s="18" t="str">
        <x:v>永和</x:v>
      </x:c>
      <x:c r="D180" s="18" t="str">
        <x:v>大阪府</x:v>
      </x:c>
      <x:c r="E180" s="18" t="str">
        <x:v>近畿</x:v>
      </x:c>
      <x:c r="F180" s="18" t="str">
        <x:v>2025-03-31</x:v>
      </x:c>
      <x:c r="G180" s="18" t="str">
        <x:v>Basic Data Found</x:v>
      </x:c>
      <x:c r="H180" s="18" t="str"/>
      <x:c r="I180" s="18" t="str">
        <x:v>https://www.eiwa-shinkin.co.jp/bank/disc.html</x:v>
      </x:c>
      <x:c r="J180" s="18" t="str">
        <x:v>https://www.shinkin-central-bank.jp/cgi-bin/s/index.cgi</x:v>
      </x:c>
      <x:c r="K180" s="52" t="n">
        <x:v>1643</x:v>
      </x:c>
      <x:c r="L180" s="60" t="n">
        <x:v>643992</x:v>
      </x:c>
      <x:c r="M180" s="60" t="n">
        <x:v>315133</x:v>
      </x:c>
      <x:c r="N180" s="63" t="n">
        <x:f>IFERROR(M180/L180,"")</x:f>
        <x:v>0.4893430353172089</x:v>
      </x:c>
      <x:c r="O180" s="62" t="n">
        <x:v>0.1182</x:v>
      </x:c>
      <x:c r="P180" s="62" t="n">
        <x:v>0.051699999999999996</x:v>
      </x:c>
      <x:c r="Q180" s="52" t="str">
        <x:v>https://www.fsa.go.jp/policy/chusho/shihyou.html</x:v>
      </x:c>
    </x:row>
    <x:row r="181">
      <x:c r="A181" s="18" t="n">
        <x:v>180</x:v>
      </x:c>
      <x:c r="B181" s="18" t="str">
        <x:v>北おおさか信用金庫</x:v>
      </x:c>
      <x:c r="C181" s="18" t="str">
        <x:v>北おおさか</x:v>
      </x:c>
      <x:c r="D181" s="18" t="str">
        <x:v>大阪府</x:v>
      </x:c>
      <x:c r="E181" s="18" t="str">
        <x:v>近畿</x:v>
      </x:c>
      <x:c r="F181" s="18" t="str">
        <x:v>2025-03-31</x:v>
      </x:c>
      <x:c r="G181" s="18" t="str">
        <x:v>Basic Data Found</x:v>
      </x:c>
      <x:c r="H181" s="18" t="str"/>
      <x:c r="I181" s="18" t="str">
        <x:v>https://www.kitaosaka-shinkin.co.jp/disclosure/index.html</x:v>
      </x:c>
      <x:c r="J181" s="18" t="str">
        <x:v>https://www.shinkin-central-bank.jp/cgi-bin/s/index.cgi</x:v>
      </x:c>
      <x:c r="K181" s="52" t="n">
        <x:v>1645</x:v>
      </x:c>
      <x:c r="L181" s="60" t="n">
        <x:v>1532037</x:v>
      </x:c>
      <x:c r="M181" s="60" t="n">
        <x:v>800652</x:v>
      </x:c>
      <x:c r="N181" s="63" t="n">
        <x:f>IFERROR(M181/L181,"")</x:f>
        <x:v>0.5226061772659537</x:v>
      </x:c>
      <x:c r="O181" s="62" t="n">
        <x:v>0.1304</x:v>
      </x:c>
      <x:c r="P181" s="62" t="n">
        <x:v>0.0584</x:v>
      </x:c>
      <x:c r="Q181" s="52" t="str">
        <x:v>https://www.fsa.go.jp/policy/chusho/shihyou.html</x:v>
      </x:c>
    </x:row>
    <x:row r="182">
      <x:c r="A182" s="18" t="n">
        <x:v>181</x:v>
      </x:c>
      <x:c r="B182" s="18" t="str">
        <x:v>枚方信用金庫</x:v>
      </x:c>
      <x:c r="C182" s="18" t="str">
        <x:v>枚方</x:v>
      </x:c>
      <x:c r="D182" s="18" t="str">
        <x:v>大阪府</x:v>
      </x:c>
      <x:c r="E182" s="18" t="str">
        <x:v>近畿</x:v>
      </x:c>
      <x:c r="F182" s="18" t="str">
        <x:v>2025-03-31</x:v>
      </x:c>
      <x:c r="G182" s="18" t="str">
        <x:v>Basic Data Found</x:v>
      </x:c>
      <x:c r="H182" s="18" t="str"/>
      <x:c r="I182" s="18" t="str">
        <x:v>https://www.hirakata-shinkin.co.jp/company_profile/disclosure.shtml</x:v>
      </x:c>
      <x:c r="J182" s="18" t="str">
        <x:v>https://www.shinkin-central-bank.jp/cgi-bin/s/index.cgi</x:v>
      </x:c>
      <x:c r="K182" s="52" t="n">
        <x:v>1656</x:v>
      </x:c>
      <x:c r="L182" s="60" t="n">
        <x:v>508484</x:v>
      </x:c>
      <x:c r="M182" s="60" t="n">
        <x:v>245541</x:v>
      </x:c>
      <x:c r="N182" s="63" t="n">
        <x:f>IFERROR(M182/L182,"")</x:f>
        <x:v>0.48288835046923795</x:v>
      </x:c>
      <x:c r="O182" s="62" t="n">
        <x:v>0.12</x:v>
      </x:c>
      <x:c r="P182" s="62" t="n">
        <x:v>0.037200000000000004</x:v>
      </x:c>
      <x:c r="Q182" s="52" t="str">
        <x:v>https://www.fsa.go.jp/policy/chusho/shihyou.html</x:v>
      </x:c>
    </x:row>
    <x:row r="183">
      <x:c r="A183" s="18" t="n">
        <x:v>182</x:v>
      </x:c>
      <x:c r="B183" s="18" t="str">
        <x:v>奈良信用金庫</x:v>
      </x:c>
      <x:c r="C183" s="18" t="str">
        <x:v>奈良</x:v>
      </x:c>
      <x:c r="D183" s="18" t="str">
        <x:v>奈良県</x:v>
      </x:c>
      <x:c r="E183" s="18" t="str">
        <x:v>近畿</x:v>
      </x:c>
      <x:c r="F183" s="18" t="str">
        <x:v>2025-03-31</x:v>
      </x:c>
      <x:c r="G183" s="18" t="str">
        <x:v>Basic Data Found</x:v>
      </x:c>
      <x:c r="H183" s="18" t="str"/>
      <x:c r="I183" s="18" t="str">
        <x:v>https://www.narashin.co.jp/about/financial/</x:v>
      </x:c>
      <x:c r="J183" s="18" t="str">
        <x:v>https://www.shinkin-central-bank.jp/cgi-bin/s/index.cgi</x:v>
      </x:c>
      <x:c r="K183" s="52" t="n">
        <x:v>1666</x:v>
      </x:c>
      <x:c r="L183" s="60" t="n">
        <x:v>347834</x:v>
      </x:c>
      <x:c r="M183" s="60" t="n">
        <x:v>181090</x:v>
      </x:c>
      <x:c r="N183" s="63" t="n">
        <x:f>IFERROR(M183/L183,"")</x:f>
        <x:v>0.5206219058516419</x:v>
      </x:c>
      <x:c r="O183" s="62" t="n">
        <x:v>0.0843</x:v>
      </x:c>
      <x:c r="P183" s="62" t="n">
        <x:v>0.0256</x:v>
      </x:c>
      <x:c r="Q183" s="52" t="str">
        <x:v>https://www.fsa.go.jp/policy/chusho/shihyou.html</x:v>
      </x:c>
    </x:row>
    <x:row r="184">
      <x:c r="A184" s="18" t="n">
        <x:v>183</x:v>
      </x:c>
      <x:c r="B184" s="18" t="str">
        <x:v>大和信用金庫</x:v>
      </x:c>
      <x:c r="C184" s="18" t="str">
        <x:v>大和</x:v>
      </x:c>
      <x:c r="D184" s="18" t="str">
        <x:v>奈良県</x:v>
      </x:c>
      <x:c r="E184" s="18" t="str">
        <x:v>近畿</x:v>
      </x:c>
      <x:c r="F184" s="18" t="str">
        <x:v>2025-03-31</x:v>
      </x:c>
      <x:c r="G184" s="18" t="str">
        <x:v>Basic Data Found</x:v>
      </x:c>
      <x:c r="H184" s="18" t="str"/>
      <x:c r="I184" s="18" t="str">
        <x:v>https://www.yamato-shinkin.co.jp/company/disclosure/</x:v>
      </x:c>
      <x:c r="J184" s="18" t="str">
        <x:v>https://www.shinkin-central-bank.jp/cgi-bin/s/index.cgi</x:v>
      </x:c>
      <x:c r="K184" s="52" t="n">
        <x:v>1667</x:v>
      </x:c>
      <x:c r="L184" s="60" t="n">
        <x:v>721705</x:v>
      </x:c>
      <x:c r="M184" s="60" t="n">
        <x:v>368435</x:v>
      </x:c>
      <x:c r="N184" s="63" t="n">
        <x:f>IFERROR(M184/L184,"")</x:f>
        <x:v>0.510506370331368</x:v>
      </x:c>
      <x:c r="O184" s="62" t="n">
        <x:v>0.1304</x:v>
      </x:c>
      <x:c r="P184" s="62" t="n">
        <x:v>0.0223</x:v>
      </x:c>
      <x:c r="Q184" s="52" t="str">
        <x:v>https://www.fsa.go.jp/policy/chusho/shihyou.html</x:v>
      </x:c>
    </x:row>
    <x:row r="185">
      <x:c r="A185" s="18" t="n">
        <x:v>184</x:v>
      </x:c>
      <x:c r="B185" s="18" t="str">
        <x:v>奈良中央信用金庫</x:v>
      </x:c>
      <x:c r="C185" s="18" t="str">
        <x:v>奈良中央</x:v>
      </x:c>
      <x:c r="D185" s="18" t="str">
        <x:v>奈良県</x:v>
      </x:c>
      <x:c r="E185" s="18" t="str">
        <x:v>近畿</x:v>
      </x:c>
      <x:c r="F185" s="18" t="str">
        <x:v>2025-03-31</x:v>
      </x:c>
      <x:c r="G185" s="18" t="str">
        <x:v>Basic Data Found</x:v>
      </x:c>
      <x:c r="H185" s="18" t="str"/>
      <x:c r="I185" s="18" t="str">
        <x:v>https://www.narachuo-shinkinbank.co.jp/about/disclosure.html</x:v>
      </x:c>
      <x:c r="J185" s="18" t="str">
        <x:v>https://www.shinkin-central-bank.jp/cgi-bin/s/index.cgi</x:v>
      </x:c>
      <x:c r="K185" s="52" t="n">
        <x:v>1668</x:v>
      </x:c>
      <x:c r="L185" s="60" t="n">
        <x:v>556784</x:v>
      </x:c>
      <x:c r="M185" s="60" t="n">
        <x:v>228057</x:v>
      </x:c>
      <x:c r="N185" s="63" t="n">
        <x:f>IFERROR(M185/L185,"")</x:f>
        <x:v>0.4095968993361878</x:v>
      </x:c>
      <x:c r="O185" s="62" t="n">
        <x:v>0.17120000000000002</x:v>
      </x:c>
      <x:c r="P185" s="62" t="n">
        <x:v>0.044199999999999996</x:v>
      </x:c>
      <x:c r="Q185" s="52" t="str">
        <x:v>https://www.fsa.go.jp/policy/chusho/shihyou.html</x:v>
      </x:c>
    </x:row>
    <x:row r="186">
      <x:c r="A186" s="18" t="n">
        <x:v>185</x:v>
      </x:c>
      <x:c r="B186" s="18" t="str">
        <x:v>新宮信用金庫</x:v>
      </x:c>
      <x:c r="C186" s="18" t="str">
        <x:v>新宮</x:v>
      </x:c>
      <x:c r="D186" s="18" t="str">
        <x:v>和歌山県</x:v>
      </x:c>
      <x:c r="E186" s="18" t="str">
        <x:v>近畿</x:v>
      </x:c>
      <x:c r="F186" s="18" t="str">
        <x:v>2025-03-31</x:v>
      </x:c>
      <x:c r="G186" s="18" t="str">
        <x:v>Basic Data Found</x:v>
      </x:c>
      <x:c r="H186" s="18" t="str"/>
      <x:c r="I186" s="18" t="str">
        <x:v>https://www.shinkin.co.jp/shingu/sin13_3.html</x:v>
      </x:c>
      <x:c r="J186" s="18" t="str">
        <x:v>https://www.shinkin-central-bank.jp/cgi-bin/s/index.cgi</x:v>
      </x:c>
      <x:c r="K186" s="52" t="n">
        <x:v>1671</x:v>
      </x:c>
      <x:c r="L186" s="60" t="n">
        <x:v>115294</x:v>
      </x:c>
      <x:c r="M186" s="60" t="n">
        <x:v>50287</x:v>
      </x:c>
      <x:c r="N186" s="63" t="n">
        <x:f>IFERROR(M186/L186,"")</x:f>
        <x:v>0.43616320016653076</x:v>
      </x:c>
      <x:c r="O186" s="62" t="n">
        <x:v>0.23850000000000002</x:v>
      </x:c>
      <x:c r="P186" s="62" t="n">
        <x:v>0.0374</x:v>
      </x:c>
      <x:c r="Q186" s="52" t="str">
        <x:v>https://www.fsa.go.jp/policy/chusho/shihyou.html</x:v>
      </x:c>
    </x:row>
    <x:row r="187">
      <x:c r="A187" s="18" t="n">
        <x:v>186</x:v>
      </x:c>
      <x:c r="B187" s="18" t="str">
        <x:v>きのくに信用金庫</x:v>
      </x:c>
      <x:c r="C187" s="18" t="str">
        <x:v>きのくに</x:v>
      </x:c>
      <x:c r="D187" s="18" t="str">
        <x:v>和歌山県</x:v>
      </x:c>
      <x:c r="E187" s="18" t="str">
        <x:v>近畿</x:v>
      </x:c>
      <x:c r="F187" s="18" t="str">
        <x:v>2025-03-31</x:v>
      </x:c>
      <x:c r="G187" s="18" t="str">
        <x:v>Basic Data Found</x:v>
      </x:c>
      <x:c r="H187" s="18" t="str"/>
      <x:c r="I187" s="18" t="str">
        <x:v>https://www.kinokuni-shinkin.jp/corporate/disc/index.html</x:v>
      </x:c>
      <x:c r="J187" s="18" t="str">
        <x:v>https://www.shinkin-central-bank.jp/cgi-bin/s/index.cgi</x:v>
      </x:c>
      <x:c r="K187" s="52" t="n">
        <x:v>1674</x:v>
      </x:c>
      <x:c r="L187" s="60" t="n">
        <x:v>1119129</x:v>
      </x:c>
      <x:c r="M187" s="60" t="n">
        <x:v>404801</x:v>
      </x:c>
      <x:c r="N187" s="63" t="n">
        <x:f>IFERROR(M187/L187,"")</x:f>
        <x:v>0.3617107589920376</x:v>
      </x:c>
      <x:c r="O187" s="62" t="n">
        <x:v>0.15990000000000001</x:v>
      </x:c>
      <x:c r="P187" s="62" t="n">
        <x:v>0.0301</x:v>
      </x:c>
      <x:c r="Q187" s="52" t="str">
        <x:v>https://www.fsa.go.jp/policy/chusho/shihyou.html</x:v>
      </x:c>
    </x:row>
    <x:row r="188">
      <x:c r="A188" s="18" t="n">
        <x:v>187</x:v>
      </x:c>
      <x:c r="B188" s="18" t="str">
        <x:v>神戸信用金庫</x:v>
      </x:c>
      <x:c r="C188" s="18" t="str">
        <x:v>神戸</x:v>
      </x:c>
      <x:c r="D188" s="18" t="str">
        <x:v>兵庫県</x:v>
      </x:c>
      <x:c r="E188" s="18" t="str">
        <x:v>近畿</x:v>
      </x:c>
      <x:c r="F188" s="18" t="str">
        <x:v>2025-03-31</x:v>
      </x:c>
      <x:c r="G188" s="18" t="str">
        <x:v>Basic Data Found</x:v>
      </x:c>
      <x:c r="H188" s="18" t="str"/>
      <x:c r="I188" s="18" t="str">
        <x:v>https://www.shinkinbank.co.jp/about/disclose.html</x:v>
      </x:c>
      <x:c r="J188" s="18" t="str">
        <x:v>https://www.shinkin-central-bank.jp/cgi-bin/s/index.cgi</x:v>
      </x:c>
      <x:c r="K188" s="52" t="n">
        <x:v>1680</x:v>
      </x:c>
      <x:c r="L188" s="60" t="n">
        <x:v>541718</x:v>
      </x:c>
      <x:c r="M188" s="60" t="n">
        <x:v>257946</x:v>
      </x:c>
      <x:c r="N188" s="63" t="n">
        <x:f>IFERROR(M188/L188,"")</x:f>
        <x:v>0.47616287441067123</x:v>
      </x:c>
      <x:c r="O188" s="62" t="n">
        <x:v>0.1329</x:v>
      </x:c>
      <x:c r="P188" s="62" t="n">
        <x:v>0.023799999999999998</x:v>
      </x:c>
      <x:c r="Q188" s="52" t="str">
        <x:v>https://www.fsa.go.jp/policy/chusho/shihyou.html</x:v>
      </x:c>
    </x:row>
    <x:row r="189">
      <x:c r="A189" s="18" t="n">
        <x:v>188</x:v>
      </x:c>
      <x:c r="B189" s="18" t="str">
        <x:v>姫路信用金庫</x:v>
      </x:c>
      <x:c r="C189" s="18" t="str">
        <x:v>姫路</x:v>
      </x:c>
      <x:c r="D189" s="18" t="str">
        <x:v>兵庫県</x:v>
      </x:c>
      <x:c r="E189" s="18" t="str">
        <x:v>近畿</x:v>
      </x:c>
      <x:c r="F189" s="18" t="str">
        <x:v>2025-03-31</x:v>
      </x:c>
      <x:c r="G189" s="18" t="str">
        <x:v>Basic Data Found</x:v>
      </x:c>
      <x:c r="H189" s="18" t="str"/>
      <x:c r="I189" s="18" t="str">
        <x:v>https://www.shinkin.co.jp/himeshin/aboutus/keiei.html</x:v>
      </x:c>
      <x:c r="J189" s="18" t="str">
        <x:v>https://www.shinkin-central-bank.jp/cgi-bin/s/index.cgi</x:v>
      </x:c>
      <x:c r="K189" s="52" t="n">
        <x:v>1685</x:v>
      </x:c>
      <x:c r="L189" s="60" t="n">
        <x:v>948931</x:v>
      </x:c>
      <x:c r="M189" s="60" t="n">
        <x:v>534111</x:v>
      </x:c>
      <x:c r="N189" s="63" t="n">
        <x:f>IFERROR(M189/L189,"")</x:f>
        <x:v>0.5628554657820221</x:v>
      </x:c>
      <x:c r="O189" s="62" t="n">
        <x:v>0.1117</x:v>
      </x:c>
      <x:c r="P189" s="62" t="n">
        <x:v>0.0645</x:v>
      </x:c>
      <x:c r="Q189" s="52" t="str">
        <x:v>https://www.fsa.go.jp/policy/chusho/shihyou.html</x:v>
      </x:c>
    </x:row>
    <x:row r="190">
      <x:c r="A190" s="18" t="n">
        <x:v>189</x:v>
      </x:c>
      <x:c r="B190" s="18" t="str">
        <x:v>播州信用金庫</x:v>
      </x:c>
      <x:c r="C190" s="18" t="str">
        <x:v>播州</x:v>
      </x:c>
      <x:c r="D190" s="18" t="str">
        <x:v>兵庫県</x:v>
      </x:c>
      <x:c r="E190" s="18" t="str">
        <x:v>近畿</x:v>
      </x:c>
      <x:c r="F190" s="18" t="str">
        <x:v>2025-03-31</x:v>
      </x:c>
      <x:c r="G190" s="18" t="str">
        <x:v>Basic Data Found</x:v>
      </x:c>
      <x:c r="H190" s="18" t="str"/>
      <x:c r="I190" s="18" t="str">
        <x:v>https://www.shinkin.co.jp/banshin/about_banshin/management/disclosure.html</x:v>
      </x:c>
      <x:c r="J190" s="18" t="str">
        <x:v>https://www.shinkin-central-bank.jp/cgi-bin/s/index.cgi</x:v>
      </x:c>
      <x:c r="K190" s="52" t="n">
        <x:v>1686</x:v>
      </x:c>
      <x:c r="L190" s="60" t="n">
        <x:v>1239611</x:v>
      </x:c>
      <x:c r="M190" s="60" t="n">
        <x:v>751533</x:v>
      </x:c>
      <x:c r="N190" s="63" t="n">
        <x:f>IFERROR(M190/L190,"")</x:f>
        <x:v>0.60626519125758</x:v>
      </x:c>
      <x:c r="O190" s="62" t="n">
        <x:v>0.1</x:v>
      </x:c>
      <x:c r="P190" s="62" t="n">
        <x:v>0.0526</x:v>
      </x:c>
      <x:c r="Q190" s="52" t="str">
        <x:v>https://www.fsa.go.jp/policy/chusho/shihyou.html</x:v>
      </x:c>
    </x:row>
    <x:row r="191">
      <x:c r="A191" s="18" t="n">
        <x:v>190</x:v>
      </x:c>
      <x:c r="B191" s="18" t="str">
        <x:v>兵庫信用金庫</x:v>
      </x:c>
      <x:c r="C191" s="18" t="str">
        <x:v>兵庫</x:v>
      </x:c>
      <x:c r="D191" s="18" t="str">
        <x:v>兵庫県</x:v>
      </x:c>
      <x:c r="E191" s="18" t="str">
        <x:v>近畿</x:v>
      </x:c>
      <x:c r="F191" s="18" t="str">
        <x:v>2025-03-31</x:v>
      </x:c>
      <x:c r="G191" s="18" t="str">
        <x:v>Basic Data Found</x:v>
      </x:c>
      <x:c r="H191" s="18" t="str"/>
      <x:c r="I191" s="18" t="str">
        <x:v>https://www.shinkin.co.jp/hyoshin/hyoushin/index.html</x:v>
      </x:c>
      <x:c r="J191" s="18" t="str">
        <x:v>https://www.shinkin-central-bank.jp/cgi-bin/s/index.cgi</x:v>
      </x:c>
      <x:c r="K191" s="52" t="n">
        <x:v>1687</x:v>
      </x:c>
      <x:c r="L191" s="60" t="n">
        <x:v>715942</x:v>
      </x:c>
      <x:c r="M191" s="60" t="n">
        <x:v>314186</x:v>
      </x:c>
      <x:c r="N191" s="63" t="n">
        <x:f>IFERROR(M191/L191,"")</x:f>
        <x:v>0.4388428112891826</x:v>
      </x:c>
      <x:c r="O191" s="62" t="n">
        <x:v>0.11900000000000001</x:v>
      </x:c>
      <x:c r="P191" s="62" t="n">
        <x:v>0.0526</x:v>
      </x:c>
      <x:c r="Q191" s="52" t="str">
        <x:v>https://www.fsa.go.jp/policy/chusho/shihyou.html</x:v>
      </x:c>
    </x:row>
    <x:row r="192">
      <x:c r="A192" s="18" t="n">
        <x:v>191</x:v>
      </x:c>
      <x:c r="B192" s="18" t="str">
        <x:v>尼崎信用金庫</x:v>
      </x:c>
      <x:c r="C192" s="18" t="str">
        <x:v>尼崎</x:v>
      </x:c>
      <x:c r="D192" s="18" t="str">
        <x:v>兵庫県</x:v>
      </x:c>
      <x:c r="E192" s="18" t="str">
        <x:v>近畿</x:v>
      </x:c>
      <x:c r="F192" s="18" t="str">
        <x:v>2025-03-31</x:v>
      </x:c>
      <x:c r="G192" s="18" t="str">
        <x:v>Basic Data Found</x:v>
      </x:c>
      <x:c r="H192" s="18" t="str"/>
      <x:c r="I192" s="18" t="str">
        <x:v>https://www.amashin.co.jp/guidance/disclosure.html</x:v>
      </x:c>
      <x:c r="J192" s="18" t="str">
        <x:v>https://www.shinkin-central-bank.jp/cgi-bin/s/index.cgi</x:v>
      </x:c>
      <x:c r="K192" s="52" t="n">
        <x:v>1688</x:v>
      </x:c>
      <x:c r="L192" s="60" t="n">
        <x:v>2763488</x:v>
      </x:c>
      <x:c r="M192" s="60" t="n">
        <x:v>1316976</x:v>
      </x:c>
      <x:c r="N192" s="63" t="n">
        <x:f>IFERROR(M192/L192,"")</x:f>
        <x:v>0.47656295232691437</x:v>
      </x:c>
      <x:c r="O192" s="62" t="n">
        <x:v>0.1518</x:v>
      </x:c>
      <x:c r="P192" s="62" t="n">
        <x:v>0.054000000000000006</x:v>
      </x:c>
      <x:c r="Q192" s="52" t="str">
        <x:v>https://www.fsa.go.jp/policy/chusho/shihyou.html</x:v>
      </x:c>
    </x:row>
    <x:row r="193">
      <x:c r="A193" s="18" t="n">
        <x:v>192</x:v>
      </x:c>
      <x:c r="B193" s="18" t="str">
        <x:v>日新信用金庫</x:v>
      </x:c>
      <x:c r="C193" s="18" t="str">
        <x:v>日新</x:v>
      </x:c>
      <x:c r="D193" s="18" t="str">
        <x:v>兵庫県</x:v>
      </x:c>
      <x:c r="E193" s="18" t="str">
        <x:v>近畿</x:v>
      </x:c>
      <x:c r="F193" s="18" t="str">
        <x:v>2025-03-31</x:v>
      </x:c>
      <x:c r="G193" s="18" t="str">
        <x:v>Basic Data Found</x:v>
      </x:c>
      <x:c r="H193" s="18" t="str"/>
      <x:c r="I193" s="18" t="str">
        <x:v>https://www.nisshin-shinkin.co.jp/kojin/disclosure.html</x:v>
      </x:c>
      <x:c r="J193" s="18" t="str">
        <x:v>https://www.shinkin-central-bank.jp/cgi-bin/s/index.cgi</x:v>
      </x:c>
      <x:c r="K193" s="52" t="n">
        <x:v>1689</x:v>
      </x:c>
      <x:c r="L193" s="60" t="n">
        <x:v>820970</x:v>
      </x:c>
      <x:c r="M193" s="60" t="n">
        <x:v>405174</x:v>
      </x:c>
      <x:c r="N193" s="63" t="n">
        <x:f>IFERROR(M193/L193,"")</x:f>
        <x:v>0.4935308232943956</x:v>
      </x:c>
      <x:c r="O193" s="62" t="n">
        <x:v>0.114</x:v>
      </x:c>
      <x:c r="P193" s="62" t="n">
        <x:v>0.0726</x:v>
      </x:c>
      <x:c r="Q193" s="52" t="str">
        <x:v>https://www.fsa.go.jp/policy/chusho/shihyou.html</x:v>
      </x:c>
    </x:row>
    <x:row r="194">
      <x:c r="A194" s="18" t="n">
        <x:v>193</x:v>
      </x:c>
      <x:c r="B194" s="18" t="str">
        <x:v>淡路信用金庫</x:v>
      </x:c>
      <x:c r="C194" s="18" t="str">
        <x:v>淡路</x:v>
      </x:c>
      <x:c r="D194" s="18" t="str">
        <x:v>兵庫県</x:v>
      </x:c>
      <x:c r="E194" s="18" t="str">
        <x:v>近畿</x:v>
      </x:c>
      <x:c r="F194" s="18" t="str">
        <x:v>2025-03-31</x:v>
      </x:c>
      <x:c r="G194" s="18" t="str">
        <x:v>IRRBB Found</x:v>
      </x:c>
      <x:c r="H194" s="18" t="str"/>
      <x:c r="I194" s="18" t="str">
        <x:v>https://www.shinkin.co.jp/awaji/annai/disclosure/index.html</x:v>
      </x:c>
      <x:c r="J194" s="18" t="str">
        <x:v>https://www.shinkin-central-bank.jp/cgi-bin/s/index.cgi</x:v>
      </x:c>
      <x:c r="K194" s="52" t="n">
        <x:v>1691</x:v>
      </x:c>
      <x:c r="L194" s="60" t="n">
        <x:v>609178</x:v>
      </x:c>
      <x:c r="M194" s="60" t="n">
        <x:v>202624</x:v>
      </x:c>
      <x:c r="N194" s="63" t="n">
        <x:f>IFERROR(M194/L194,"")</x:f>
        <x:v>0.3326187091457669</x:v>
      </x:c>
      <x:c r="O194" s="62" t="n">
        <x:v>0.2155</x:v>
      </x:c>
      <x:c r="P194" s="62" t="n">
        <x:v>0.0313</x:v>
      </x:c>
      <x:c r="Q194" s="52" t="str">
        <x:v>https://www.fsa.go.jp/policy/chusho/shihyou.html</x:v>
      </x:c>
    </x:row>
    <x:row r="195">
      <x:c r="A195" s="18" t="n">
        <x:v>194</x:v>
      </x:c>
      <x:c r="B195" s="18" t="str">
        <x:v>但馬信用金庫</x:v>
      </x:c>
      <x:c r="C195" s="18" t="str">
        <x:v>但馬</x:v>
      </x:c>
      <x:c r="D195" s="18" t="str">
        <x:v>兵庫県</x:v>
      </x:c>
      <x:c r="E195" s="18" t="str">
        <x:v>近畿</x:v>
      </x:c>
      <x:c r="F195" s="18" t="str">
        <x:v>2025-03-31</x:v>
      </x:c>
      <x:c r="G195" s="18" t="str">
        <x:v>Basic Data Found</x:v>
      </x:c>
      <x:c r="H195" s="18" t="str"/>
      <x:c r="I195" s="18" t="str">
        <x:v>https://www.tanshin.co.jp/disclosure/index.php</x:v>
      </x:c>
      <x:c r="J195" s="18" t="str">
        <x:v>https://www.shinkin-central-bank.jp/cgi-bin/s/index.cgi</x:v>
      </x:c>
      <x:c r="K195" s="52" t="n">
        <x:v>1692</x:v>
      </x:c>
      <x:c r="L195" s="60" t="n">
        <x:v>471250</x:v>
      </x:c>
      <x:c r="M195" s="60" t="n">
        <x:v>181630</x:v>
      </x:c>
      <x:c r="N195" s="63" t="n">
        <x:f>IFERROR(M195/L195,"")</x:f>
        <x:v>0.38542175066312995</x:v>
      </x:c>
      <x:c r="O195" s="62" t="n">
        <x:v>0.22699999999999998</x:v>
      </x:c>
      <x:c r="P195" s="62" t="n">
        <x:v>0.0454</x:v>
      </x:c>
      <x:c r="Q195" s="52" t="str">
        <x:v>https://www.fsa.go.jp/policy/chusho/shihyou.html</x:v>
      </x:c>
    </x:row>
    <x:row r="196">
      <x:c r="A196" s="18" t="n">
        <x:v>195</x:v>
      </x:c>
      <x:c r="B196" s="18" t="str">
        <x:v>西兵庫信用金庫</x:v>
      </x:c>
      <x:c r="C196" s="18" t="str">
        <x:v>西兵庫</x:v>
      </x:c>
      <x:c r="D196" s="18" t="str">
        <x:v>兵庫県</x:v>
      </x:c>
      <x:c r="E196" s="18" t="str">
        <x:v>近畿</x:v>
      </x:c>
      <x:c r="F196" s="18" t="str">
        <x:v>2025-03-31</x:v>
      </x:c>
      <x:c r="G196" s="18" t="str">
        <x:v>Basic Data Found</x:v>
      </x:c>
      <x:c r="H196" s="18" t="str"/>
      <x:c r="I196" s="18" t="str">
        <x:v>https://www.shinkin.co.jp/nisisin/company/disclosure/index.html</x:v>
      </x:c>
      <x:c r="J196" s="18" t="str">
        <x:v>https://www.shinkin-central-bank.jp/cgi-bin/s/index.cgi</x:v>
      </x:c>
      <x:c r="K196" s="52" t="n">
        <x:v>1694</x:v>
      </x:c>
      <x:c r="L196" s="60" t="n">
        <x:v>545570</x:v>
      </x:c>
      <x:c r="M196" s="60" t="n">
        <x:v>222499</x:v>
      </x:c>
      <x:c r="N196" s="63" t="n">
        <x:f>IFERROR(M196/L196,"")</x:f>
        <x:v>0.40782850963212786</x:v>
      </x:c>
      <x:c r="O196" s="62" t="n">
        <x:v>0.21059999999999998</x:v>
      </x:c>
      <x:c r="P196" s="62" t="n">
        <x:v>0.0461</x:v>
      </x:c>
      <x:c r="Q196" s="52" t="str">
        <x:v>https://www.fsa.go.jp/policy/chusho/shihyou.html</x:v>
      </x:c>
    </x:row>
    <x:row r="197">
      <x:c r="A197" s="18" t="n">
        <x:v>196</x:v>
      </x:c>
      <x:c r="B197" s="18" t="str">
        <x:v>中兵庫信用金庫</x:v>
      </x:c>
      <x:c r="C197" s="18" t="str">
        <x:v>中兵庫</x:v>
      </x:c>
      <x:c r="D197" s="18" t="str">
        <x:v>兵庫県</x:v>
      </x:c>
      <x:c r="E197" s="18" t="str">
        <x:v>近畿</x:v>
      </x:c>
      <x:c r="F197" s="18" t="str">
        <x:v>2025-03-31</x:v>
      </x:c>
      <x:c r="G197" s="18" t="str">
        <x:v>IRRBB Found</x:v>
      </x:c>
      <x:c r="H197" s="18" t="str"/>
      <x:c r="I197" s="18" t="str">
        <x:v>https://www.nakashin.co.jp/company/disclosure.html</x:v>
      </x:c>
      <x:c r="J197" s="18" t="str">
        <x:v>https://www.shinkin-central-bank.jp/cgi-bin/s/index.cgi</x:v>
      </x:c>
      <x:c r="K197" s="52" t="n">
        <x:v>1695</x:v>
      </x:c>
      <x:c r="L197" s="60" t="n">
        <x:v>551372</x:v>
      </x:c>
      <x:c r="M197" s="60" t="n">
        <x:v>145940</x:v>
      </x:c>
      <x:c r="N197" s="63" t="n">
        <x:f>IFERROR(M197/L197,"")</x:f>
        <x:v>0.26468518531953017</x:v>
      </x:c>
      <x:c r="O197" s="62" t="n">
        <x:v>0.2981</x:v>
      </x:c>
      <x:c r="P197" s="62" t="n">
        <x:v>0.0545</x:v>
      </x:c>
      <x:c r="Q197" s="52" t="str">
        <x:v>https://www.fsa.go.jp/policy/chusho/shihyou.html</x:v>
      </x:c>
    </x:row>
    <x:row r="198">
      <x:c r="A198" s="18" t="n">
        <x:v>197</x:v>
      </x:c>
      <x:c r="B198" s="18" t="str">
        <x:v>但陽信用金庫</x:v>
      </x:c>
      <x:c r="C198" s="18" t="str">
        <x:v>但陽</x:v>
      </x:c>
      <x:c r="D198" s="18" t="str">
        <x:v>兵庫県</x:v>
      </x:c>
      <x:c r="E198" s="18" t="str">
        <x:v>近畿</x:v>
      </x:c>
      <x:c r="F198" s="18" t="str">
        <x:v>2025-03-31</x:v>
      </x:c>
      <x:c r="G198" s="18" t="str">
        <x:v>Basic Data Found</x:v>
      </x:c>
      <x:c r="H198" s="18" t="str"/>
      <x:c r="I198" s="18" t="str">
        <x:v>https://www.tanyo-shinkin.co.jp/about/disclosure/index.php</x:v>
      </x:c>
      <x:c r="J198" s="18" t="str">
        <x:v>https://www.shinkin-central-bank.jp/cgi-bin/s/index.cgi</x:v>
      </x:c>
      <x:c r="K198" s="52" t="n">
        <x:v>1696</x:v>
      </x:c>
      <x:c r="L198" s="60" t="n">
        <x:v>1010843</x:v>
      </x:c>
      <x:c r="M198" s="60" t="n">
        <x:v>366477</x:v>
      </x:c>
      <x:c r="N198" s="63" t="n">
        <x:f>IFERROR(M198/L198,"")</x:f>
        <x:v>0.36254591464747743</x:v>
      </x:c>
      <x:c r="O198" s="62" t="n">
        <x:v>0.1512</x:v>
      </x:c>
      <x:c r="P198" s="62" t="n">
        <x:v>0.0174</x:v>
      </x:c>
      <x:c r="Q198" s="52" t="str">
        <x:v>https://www.fsa.go.jp/policy/chusho/shihyou.html</x:v>
      </x:c>
    </x:row>
    <x:row r="199">
      <x:c r="A199" s="18" t="n">
        <x:v>198</x:v>
      </x:c>
      <x:c r="B199" s="18" t="str">
        <x:v>鳥取信用金庫</x:v>
      </x:c>
      <x:c r="C199" s="18" t="str">
        <x:v>鳥取</x:v>
      </x:c>
      <x:c r="D199" s="18" t="str">
        <x:v>鳥取県</x:v>
      </x:c>
      <x:c r="E199" s="18" t="str">
        <x:v>中国</x:v>
      </x:c>
      <x:c r="F199" s="18" t="str">
        <x:v>2025-03-31</x:v>
      </x:c>
      <x:c r="G199" s="18" t="str">
        <x:v>Basic Data Found</x:v>
      </x:c>
      <x:c r="H199" s="18" t="str"/>
      <x:c r="I199" s="18" t="str">
        <x:v>https://www.shinkin.co.jp/torishin/about/keiei/disclosure.html</x:v>
      </x:c>
      <x:c r="J199" s="18" t="str">
        <x:v>https://www.shinkin-central-bank.jp/cgi-bin/s/index.cgi</x:v>
      </x:c>
      <x:c r="K199" s="52" t="n">
        <x:v>1701</x:v>
      </x:c>
      <x:c r="L199" s="60" t="n">
        <x:v>194470</x:v>
      </x:c>
      <x:c r="M199" s="60" t="n">
        <x:v>102792</x:v>
      </x:c>
      <x:c r="N199" s="63" t="n">
        <x:f>IFERROR(M199/L199,"")</x:f>
        <x:v>0.528575101558081</x:v>
      </x:c>
      <x:c r="O199" s="62" t="n">
        <x:v>0.0823</x:v>
      </x:c>
      <x:c r="P199" s="62" t="n">
        <x:v>0.0537</x:v>
      </x:c>
      <x:c r="Q199" s="52" t="str">
        <x:v>https://www.fsa.go.jp/policy/chusho/shihyou.html</x:v>
      </x:c>
    </x:row>
    <x:row r="200">
      <x:c r="A200" s="18" t="n">
        <x:v>199</x:v>
      </x:c>
      <x:c r="B200" s="18" t="str">
        <x:v>米子信用金庫</x:v>
      </x:c>
      <x:c r="C200" s="18" t="str">
        <x:v>米子</x:v>
      </x:c>
      <x:c r="D200" s="18" t="str">
        <x:v>鳥取県</x:v>
      </x:c>
      <x:c r="E200" s="18" t="str">
        <x:v>中国</x:v>
      </x:c>
      <x:c r="F200" s="18" t="str">
        <x:v>2025-03-31</x:v>
      </x:c>
      <x:c r="G200" s="18" t="str">
        <x:v>Basic Data Found</x:v>
      </x:c>
      <x:c r="H200" s="18" t="str"/>
      <x:c r="I200" s="18" t="str">
        <x:v>https://www.shinkin.co.jp/yonago/about/ysk0005/page92/</x:v>
      </x:c>
      <x:c r="J200" s="18" t="str">
        <x:v>https://www.shinkin-central-bank.jp/cgi-bin/s/index.cgi</x:v>
      </x:c>
      <x:c r="K200" s="52" t="n">
        <x:v>1702</x:v>
      </x:c>
      <x:c r="L200" s="60" t="n">
        <x:v>185947</x:v>
      </x:c>
      <x:c r="M200" s="60" t="n">
        <x:v>125670</x:v>
      </x:c>
      <x:c r="N200" s="63" t="n">
        <x:f>IFERROR(M200/L200,"")</x:f>
        <x:v>0.6758377387104928</x:v>
      </x:c>
      <x:c r="O200" s="62" t="n">
        <x:v>0.0839</x:v>
      </x:c>
      <x:c r="P200" s="62" t="n">
        <x:v>0.042800000000000005</x:v>
      </x:c>
      <x:c r="Q200" s="52" t="str">
        <x:v>https://www.fsa.go.jp/policy/chusho/shihyou.html</x:v>
      </x:c>
    </x:row>
    <x:row r="201">
      <x:c r="A201" s="18" t="n">
        <x:v>200</x:v>
      </x:c>
      <x:c r="B201" s="18" t="str">
        <x:v>倉吉信用金庫</x:v>
      </x:c>
      <x:c r="C201" s="18" t="str">
        <x:v>倉吉</x:v>
      </x:c>
      <x:c r="D201" s="18" t="str">
        <x:v>鳥取県</x:v>
      </x:c>
      <x:c r="E201" s="18" t="str">
        <x:v>中国</x:v>
      </x:c>
      <x:c r="F201" s="18" t="str">
        <x:v>2025-03-31</x:v>
      </x:c>
      <x:c r="G201" s="18" t="str">
        <x:v>Basic Data Found</x:v>
      </x:c>
      <x:c r="H201" s="18" t="str"/>
      <x:c r="I201" s="18" t="str">
        <x:v>https://www.kurashin.co.jp/kurashin/disclosure/</x:v>
      </x:c>
      <x:c r="J201" s="18" t="str">
        <x:v>https://www.shinkin-central-bank.jp/cgi-bin/s/index.cgi</x:v>
      </x:c>
      <x:c r="K201" s="52" t="n">
        <x:v>1703</x:v>
      </x:c>
      <x:c r="L201" s="60" t="n">
        <x:v>85464</x:v>
      </x:c>
      <x:c r="M201" s="60" t="n">
        <x:v>42132</x:v>
      </x:c>
      <x:c r="N201" s="63" t="n">
        <x:f>IFERROR(M201/L201,"")</x:f>
        <x:v>0.49297950014041</x:v>
      </x:c>
      <x:c r="O201" s="62" t="n">
        <x:v>0.18530000000000002</x:v>
      </x:c>
      <x:c r="P201" s="62" t="n">
        <x:v>0.0692</x:v>
      </x:c>
      <x:c r="Q201" s="52" t="str">
        <x:v>https://www.fsa.go.jp/policy/chusho/shihyou.html</x:v>
      </x:c>
    </x:row>
    <x:row r="202">
      <x:c r="A202" s="18" t="n">
        <x:v>201</x:v>
      </x:c>
      <x:c r="B202" s="18" t="str">
        <x:v>しまね信用金庫</x:v>
      </x:c>
      <x:c r="C202" s="18" t="str">
        <x:v>しまね</x:v>
      </x:c>
      <x:c r="D202" s="18" t="str">
        <x:v>島根県</x:v>
      </x:c>
      <x:c r="E202" s="18" t="str">
        <x:v>中国</x:v>
      </x:c>
      <x:c r="F202" s="18" t="str">
        <x:v>2025-03-31</x:v>
      </x:c>
      <x:c r="G202" s="18" t="str">
        <x:v>Basic Data Found</x:v>
      </x:c>
      <x:c r="H202" s="18" t="str"/>
      <x:c r="I202" s="18" t="str">
        <x:v>https://www.shimane-shinkin.co.jp/about-us/disclosure/</x:v>
      </x:c>
      <x:c r="J202" s="18" t="str">
        <x:v>https://www.shinkin-central-bank.jp/cgi-bin/s/index.cgi</x:v>
      </x:c>
      <x:c r="K202" s="52" t="n">
        <x:v>1710</x:v>
      </x:c>
      <x:c r="L202" s="60" t="n">
        <x:v>125111</x:v>
      </x:c>
      <x:c r="M202" s="60" t="n">
        <x:v>67840</x:v>
      </x:c>
      <x:c r="N202" s="63" t="n">
        <x:f>IFERROR(M202/L202,"")</x:f>
        <x:v>0.5422384922189096</x:v>
      </x:c>
      <x:c r="O202" s="62" t="n">
        <x:v>0.098</x:v>
      </x:c>
      <x:c r="P202" s="62" t="n">
        <x:v>0.0276</x:v>
      </x:c>
      <x:c r="Q202" s="52" t="str">
        <x:v>https://www.fsa.go.jp/policy/chusho/shihyou.html</x:v>
      </x:c>
    </x:row>
    <x:row r="203">
      <x:c r="A203" s="18" t="n">
        <x:v>202</x:v>
      </x:c>
      <x:c r="B203" s="18" t="str">
        <x:v>日本海信用金庫</x:v>
      </x:c>
      <x:c r="C203" s="18" t="str">
        <x:v>日本海</x:v>
      </x:c>
      <x:c r="D203" s="18" t="str">
        <x:v>島根県</x:v>
      </x:c>
      <x:c r="E203" s="18" t="str">
        <x:v>中国</x:v>
      </x:c>
      <x:c r="F203" s="18" t="str">
        <x:v>2025-03-31</x:v>
      </x:c>
      <x:c r="G203" s="18" t="str">
        <x:v>Basic Data Found</x:v>
      </x:c>
      <x:c r="H203" s="18" t="str"/>
      <x:c r="I203" s="18" t="str">
        <x:v>https://nihonkaishinkin.co.jp/about/gaiyou2/disclosure.html</x:v>
      </x:c>
      <x:c r="J203" s="18" t="str">
        <x:v>https://www.shinkin-central-bank.jp/cgi-bin/s/index.cgi</x:v>
      </x:c>
      <x:c r="K203" s="52" t="n">
        <x:v>1711</x:v>
      </x:c>
      <x:c r="L203" s="60" t="n">
        <x:v>105416</x:v>
      </x:c>
      <x:c r="M203" s="60" t="n">
        <x:v>51491</x:v>
      </x:c>
      <x:c r="N203" s="63" t="n">
        <x:f>IFERROR(M203/L203,"")</x:f>
        <x:v>0.4884552629581847</x:v>
      </x:c>
      <x:c r="O203" s="62" t="n">
        <x:v>0.1149</x:v>
      </x:c>
      <x:c r="P203" s="62" t="n">
        <x:v>0.044000000000000004</x:v>
      </x:c>
      <x:c r="Q203" s="52" t="str">
        <x:v>https://www.fsa.go.jp/policy/chusho/shihyou.html</x:v>
      </x:c>
    </x:row>
    <x:row r="204">
      <x:c r="A204" s="18" t="n">
        <x:v>203</x:v>
      </x:c>
      <x:c r="B204" s="18" t="str">
        <x:v>島根中央信用金庫</x:v>
      </x:c>
      <x:c r="C204" s="18" t="str">
        <x:v>島根中央</x:v>
      </x:c>
      <x:c r="D204" s="18" t="str">
        <x:v>島根県</x:v>
      </x:c>
      <x:c r="E204" s="18" t="str">
        <x:v>中国</x:v>
      </x:c>
      <x:c r="F204" s="18" t="str">
        <x:v>2025-03-31</x:v>
      </x:c>
      <x:c r="G204" s="18" t="str">
        <x:v>Basic Data Found</x:v>
      </x:c>
      <x:c r="H204" s="18" t="str"/>
      <x:c r="I204" s="18" t="str">
        <x:v>https://www.shimanechuuou.co.jp/disclosure/index.html</x:v>
      </x:c>
      <x:c r="J204" s="18" t="str">
        <x:v>https://www.shinkin-central-bank.jp/cgi-bin/s/index.cgi</x:v>
      </x:c>
      <x:c r="K204" s="52" t="n">
        <x:v>1712</x:v>
      </x:c>
      <x:c r="L204" s="60" t="n">
        <x:v>293892</x:v>
      </x:c>
      <x:c r="M204" s="60" t="n">
        <x:v>173657</x:v>
      </x:c>
      <x:c r="N204" s="63" t="n">
        <x:f>IFERROR(M204/L204,"")</x:f>
        <x:v>0.5908871286050658</x:v>
      </x:c>
      <x:c r="O204" s="62" t="n">
        <x:v>0.0875</x:v>
      </x:c>
      <x:c r="P204" s="62" t="n">
        <x:v>0.0425</x:v>
      </x:c>
      <x:c r="Q204" s="52" t="str">
        <x:v>https://www.fsa.go.jp/policy/chusho/shihyou.html</x:v>
      </x:c>
    </x:row>
    <x:row r="205">
      <x:c r="A205" s="18" t="n">
        <x:v>204</x:v>
      </x:c>
      <x:c r="B205" s="18" t="str">
        <x:v>おかやま信用金庫</x:v>
      </x:c>
      <x:c r="C205" s="18" t="str">
        <x:v>おかやま</x:v>
      </x:c>
      <x:c r="D205" s="18" t="str">
        <x:v>岡山県</x:v>
      </x:c>
      <x:c r="E205" s="18" t="str">
        <x:v>中国</x:v>
      </x:c>
      <x:c r="F205" s="18" t="str">
        <x:v>2025-03-31</x:v>
      </x:c>
      <x:c r="G205" s="18" t="str">
        <x:v>Basic Data Found</x:v>
      </x:c>
      <x:c r="H205" s="18" t="str"/>
      <x:c r="I205" s="18" t="str">
        <x:v>https://www.shinkin.co.jp/okayama/about/guide/disclose.php</x:v>
      </x:c>
      <x:c r="J205" s="18" t="str">
        <x:v>https://www.shinkin-central-bank.jp/cgi-bin/s/index.cgi</x:v>
      </x:c>
      <x:c r="K205" s="52" t="n">
        <x:v>1732</x:v>
      </x:c>
      <x:c r="L205" s="60" t="n">
        <x:v>591486</x:v>
      </x:c>
      <x:c r="M205" s="60" t="n">
        <x:v>243540</x:v>
      </x:c>
      <x:c r="N205" s="63" t="n">
        <x:f>IFERROR(M205/L205,"")</x:f>
        <x:v>0.41174262788975563</x:v>
      </x:c>
      <x:c r="O205" s="62" t="n">
        <x:v>0.11810000000000001</x:v>
      </x:c>
      <x:c r="P205" s="62" t="n">
        <x:v>0.0555</x:v>
      </x:c>
      <x:c r="Q205" s="52" t="str">
        <x:v>https://www.fsa.go.jp/policy/chusho/shihyou.html</x:v>
      </x:c>
    </x:row>
    <x:row r="206">
      <x:c r="A206" s="18" t="n">
        <x:v>205</x:v>
      </x:c>
      <x:c r="B206" s="18" t="str">
        <x:v>水島信用金庫</x:v>
      </x:c>
      <x:c r="C206" s="18" t="str">
        <x:v>水島</x:v>
      </x:c>
      <x:c r="D206" s="18" t="str">
        <x:v>岡山県</x:v>
      </x:c>
      <x:c r="E206" s="18" t="str">
        <x:v>中国</x:v>
      </x:c>
      <x:c r="F206" s="18" t="str">
        <x:v>2025-03-31</x:v>
      </x:c>
      <x:c r="G206" s="18" t="str">
        <x:v>Basic Data Found</x:v>
      </x:c>
      <x:c r="H206" s="18" t="str"/>
      <x:c r="I206" s="18" t="str">
        <x:v>https://www.shinkin.co.jp/mizushima/03about/disclosure/0301</x:v>
      </x:c>
      <x:c r="J206" s="18" t="str">
        <x:v>https://www.shinkin-central-bank.jp/cgi-bin/s/index.cgi</x:v>
      </x:c>
      <x:c r="K206" s="52" t="n">
        <x:v>1734</x:v>
      </x:c>
      <x:c r="L206" s="60" t="n">
        <x:v>252099</x:v>
      </x:c>
      <x:c r="M206" s="60" t="n">
        <x:v>93208</x:v>
      </x:c>
      <x:c r="N206" s="63" t="n">
        <x:f>IFERROR(M206/L206,"")</x:f>
        <x:v>0.3697277656793561</x:v>
      </x:c>
      <x:c r="O206" s="62" t="n">
        <x:v>0.1215</x:v>
      </x:c>
      <x:c r="P206" s="62" t="n">
        <x:v>0.0417</x:v>
      </x:c>
      <x:c r="Q206" s="52" t="str">
        <x:v>https://www.fsa.go.jp/policy/chusho/shihyou.html</x:v>
      </x:c>
    </x:row>
    <x:row r="207">
      <x:c r="A207" s="18" t="n">
        <x:v>206</x:v>
      </x:c>
      <x:c r="B207" s="18" t="str">
        <x:v>津山信用金庫</x:v>
      </x:c>
      <x:c r="C207" s="18" t="str">
        <x:v>津山</x:v>
      </x:c>
      <x:c r="D207" s="18" t="str">
        <x:v>岡山県</x:v>
      </x:c>
      <x:c r="E207" s="18" t="str">
        <x:v>中国</x:v>
      </x:c>
      <x:c r="F207" s="18" t="str">
        <x:v>2025-03-31</x:v>
      </x:c>
      <x:c r="G207" s="18" t="str">
        <x:v>Basic Data Found</x:v>
      </x:c>
      <x:c r="H207" s="18" t="str"/>
      <x:c r="I207" s="18" t="str">
        <x:v>https://www.shinkin.co.jp/tsuyama/tsushininfo/index.html</x:v>
      </x:c>
      <x:c r="J207" s="18" t="str">
        <x:v>https://www.shinkin-central-bank.jp/cgi-bin/s/index.cgi</x:v>
      </x:c>
      <x:c r="K207" s="52" t="n">
        <x:v>1735</x:v>
      </x:c>
      <x:c r="L207" s="60" t="n">
        <x:v>149652</x:v>
      </x:c>
      <x:c r="M207" s="60" t="n">
        <x:v>66224</x:v>
      </x:c>
      <x:c r="N207" s="63" t="n">
        <x:f>IFERROR(M207/L207,"")</x:f>
        <x:v>0.4425199796862053</x:v>
      </x:c>
      <x:c r="O207" s="62" t="n">
        <x:v>0.10679999999999999</x:v>
      </x:c>
      <x:c r="P207" s="62" t="n">
        <x:v>0.026099999999999998</x:v>
      </x:c>
      <x:c r="Q207" s="52" t="str">
        <x:v>https://www.fsa.go.jp/policy/chusho/shihyou.html</x:v>
      </x:c>
    </x:row>
    <x:row r="208">
      <x:c r="A208" s="18" t="n">
        <x:v>207</x:v>
      </x:c>
      <x:c r="B208" s="18" t="str">
        <x:v>玉島信用金庫</x:v>
      </x:c>
      <x:c r="C208" s="18" t="str">
        <x:v>玉島</x:v>
      </x:c>
      <x:c r="D208" s="18" t="str">
        <x:v>岡山県</x:v>
      </x:c>
      <x:c r="E208" s="18" t="str">
        <x:v>中国</x:v>
      </x:c>
      <x:c r="F208" s="18" t="str">
        <x:v>2025-03-31</x:v>
      </x:c>
      <x:c r="G208" s="18" t="str">
        <x:v>Basic Data Found</x:v>
      </x:c>
      <x:c r="H208" s="18" t="str"/>
      <x:c r="I208" s="18" t="str">
        <x:v>https://www.shinkin.co.jp/tamashima-sk/about/disclosure.html</x:v>
      </x:c>
      <x:c r="J208" s="18" t="str">
        <x:v>https://www.shinkin-central-bank.jp/cgi-bin/s/index.cgi</x:v>
      </x:c>
      <x:c r="K208" s="52" t="n">
        <x:v>1738</x:v>
      </x:c>
      <x:c r="L208" s="60" t="n">
        <x:v>360368</x:v>
      </x:c>
      <x:c r="M208" s="60" t="n">
        <x:v>150409</x:v>
      </x:c>
      <x:c r="N208" s="63" t="n">
        <x:f>IFERROR(M208/L208,"")</x:f>
        <x:v>0.4173761266261155</x:v>
      </x:c>
      <x:c r="O208" s="62" t="n">
        <x:v>0.1521</x:v>
      </x:c>
      <x:c r="P208" s="62" t="n">
        <x:v>0.0556</x:v>
      </x:c>
      <x:c r="Q208" s="52" t="str">
        <x:v>https://www.fsa.go.jp/policy/chusho/shihyou.html</x:v>
      </x:c>
    </x:row>
    <x:row r="209">
      <x:c r="A209" s="18" t="n">
        <x:v>208</x:v>
      </x:c>
      <x:c r="B209" s="18" t="str">
        <x:v>備北信用金庫</x:v>
      </x:c>
      <x:c r="C209" s="18" t="str">
        <x:v>備北</x:v>
      </x:c>
      <x:c r="D209" s="18" t="str">
        <x:v>岡山県</x:v>
      </x:c>
      <x:c r="E209" s="18" t="str">
        <x:v>中国</x:v>
      </x:c>
      <x:c r="F209" s="18" t="str">
        <x:v>2025-03-31</x:v>
      </x:c>
      <x:c r="G209" s="18" t="str">
        <x:v>Basic Data Found</x:v>
      </x:c>
      <x:c r="H209" s="18" t="str"/>
      <x:c r="I209" s="18" t="str">
        <x:v>https://www.shinkin.co.jp/bihoku/disclo/disclo.html</x:v>
      </x:c>
      <x:c r="J209" s="18" t="str">
        <x:v>https://www.shinkin-central-bank.jp/cgi-bin/s/index.cgi</x:v>
      </x:c>
      <x:c r="K209" s="52" t="n">
        <x:v>1740</x:v>
      </x:c>
      <x:c r="L209" s="60" t="n">
        <x:v>125148</x:v>
      </x:c>
      <x:c r="M209" s="60" t="n">
        <x:v>47491</x:v>
      </x:c>
      <x:c r="N209" s="63" t="n">
        <x:f>IFERROR(M209/L209,"")</x:f>
        <x:v>0.37947869722248856</x:v>
      </x:c>
      <x:c r="O209" s="62" t="n">
        <x:v>0.19399999999999998</x:v>
      </x:c>
      <x:c r="P209" s="62" t="n">
        <x:v>0.0271</x:v>
      </x:c>
      <x:c r="Q209" s="52" t="str">
        <x:v>https://www.fsa.go.jp/policy/chusho/shihyou.html</x:v>
      </x:c>
    </x:row>
    <x:row r="210">
      <x:c r="A210" s="18" t="n">
        <x:v>209</x:v>
      </x:c>
      <x:c r="B210" s="18" t="str">
        <x:v>吉備信用金庫</x:v>
      </x:c>
      <x:c r="C210" s="18" t="str">
        <x:v>吉備</x:v>
      </x:c>
      <x:c r="D210" s="18" t="str">
        <x:v>岡山県</x:v>
      </x:c>
      <x:c r="E210" s="18" t="str">
        <x:v>中国</x:v>
      </x:c>
      <x:c r="F210" s="18" t="str">
        <x:v>2025-03-31</x:v>
      </x:c>
      <x:c r="G210" s="18" t="str">
        <x:v>Basic Data Found</x:v>
      </x:c>
      <x:c r="H210" s="18" t="str"/>
      <x:c r="I210" s="18" t="str">
        <x:v>https://www.shinkin.co.jp/kibi/company/disclosure/index.html</x:v>
      </x:c>
      <x:c r="J210" s="18" t="str">
        <x:v>https://www.shinkin-central-bank.jp/cgi-bin/s/index.cgi</x:v>
      </x:c>
      <x:c r="K210" s="52" t="n">
        <x:v>1741</x:v>
      </x:c>
      <x:c r="L210" s="60" t="n">
        <x:v>182682</x:v>
      </x:c>
      <x:c r="M210" s="60" t="n">
        <x:v>64622</x:v>
      </x:c>
      <x:c r="N210" s="63" t="n">
        <x:f>IFERROR(M210/L210,"")</x:f>
        <x:v>0.35374037945719883</x:v>
      </x:c>
      <x:c r="O210" s="62" t="n">
        <x:v>0.1438</x:v>
      </x:c>
      <x:c r="P210" s="62" t="n">
        <x:v>0.0461</x:v>
      </x:c>
      <x:c r="Q210" s="52" t="str">
        <x:v>https://www.fsa.go.jp/policy/chusho/shihyou.html</x:v>
      </x:c>
    </x:row>
    <x:row r="211">
      <x:c r="A211" s="18" t="n">
        <x:v>210</x:v>
      </x:c>
      <x:c r="B211" s="18" t="str">
        <x:v>備前日生信用金庫</x:v>
      </x:c>
      <x:c r="C211" s="18" t="str">
        <x:v>備前日生</x:v>
      </x:c>
      <x:c r="D211" s="18" t="str">
        <x:v>岡山県</x:v>
      </x:c>
      <x:c r="E211" s="18" t="str">
        <x:v>中国</x:v>
      </x:c>
      <x:c r="F211" s="18" t="str">
        <x:v>2025-03-31</x:v>
      </x:c>
      <x:c r="G211" s="18" t="str">
        <x:v>IRRBB Found</x:v>
      </x:c>
      <x:c r="H211" s="18" t="str"/>
      <x:c r="I211" s="18" t="str">
        <x:v>https://www.shinkin.co.jp/bizenhinase/about/disclosure/</x:v>
      </x:c>
      <x:c r="J211" s="18" t="str">
        <x:v>https://www.shinkin-central-bank.jp/cgi-bin/s/index.cgi</x:v>
      </x:c>
      <x:c r="K211" s="52" t="n">
        <x:v>1743</x:v>
      </x:c>
      <x:c r="L211" s="60" t="n">
        <x:v>218999</x:v>
      </x:c>
      <x:c r="M211" s="60" t="n">
        <x:v>71436</x:v>
      </x:c>
      <x:c r="N211" s="63" t="n">
        <x:f>IFERROR(M211/L211,"")</x:f>
        <x:v>0.32619327028890543</x:v>
      </x:c>
      <x:c r="O211" s="62" t="n">
        <x:v>0.1246</x:v>
      </x:c>
      <x:c r="P211" s="62" t="n">
        <x:v>0.0484</x:v>
      </x:c>
      <x:c r="Q211" s="52" t="str">
        <x:v>https://www.fsa.go.jp/policy/chusho/shihyou.html</x:v>
      </x:c>
    </x:row>
    <x:row r="212">
      <x:c r="A212" s="18" t="n">
        <x:v>211</x:v>
      </x:c>
      <x:c r="B212" s="18" t="str">
        <x:v>広島信用金庫</x:v>
      </x:c>
      <x:c r="C212" s="18" t="str">
        <x:v>広島</x:v>
      </x:c>
      <x:c r="D212" s="18" t="str">
        <x:v>広島県</x:v>
      </x:c>
      <x:c r="E212" s="18" t="str">
        <x:v>中国</x:v>
      </x:c>
      <x:c r="F212" s="18" t="str">
        <x:v>2025-03-31</x:v>
      </x:c>
      <x:c r="G212" s="18" t="str">
        <x:v>Basic Data Found</x:v>
      </x:c>
      <x:c r="H212" s="18" t="str"/>
      <x:c r="I212" s="18" t="str">
        <x:v>https://www.hiroshin.co.jp/corporate/#disclosure</x:v>
      </x:c>
      <x:c r="J212" s="18" t="str">
        <x:v>https://www.shinkin-central-bank.jp/cgi-bin/s/index.cgi</x:v>
      </x:c>
      <x:c r="K212" s="52" t="n">
        <x:v>1750</x:v>
      </x:c>
      <x:c r="L212" s="60" t="n">
        <x:v>1689051</x:v>
      </x:c>
      <x:c r="M212" s="60" t="n">
        <x:v>1085687</x:v>
      </x:c>
      <x:c r="N212" s="63" t="n">
        <x:f>IFERROR(M212/L212,"")</x:f>
        <x:v>0.6427792884880327</x:v>
      </x:c>
      <x:c r="O212" s="62" t="n">
        <x:v>0.13419999999999999</x:v>
      </x:c>
      <x:c r="P212" s="62" t="n">
        <x:v>0.0302</x:v>
      </x:c>
      <x:c r="Q212" s="52" t="str">
        <x:v>https://www.fsa.go.jp/policy/chusho/shihyou.html</x:v>
      </x:c>
    </x:row>
    <x:row r="213">
      <x:c r="A213" s="18" t="n">
        <x:v>212</x:v>
      </x:c>
      <x:c r="B213" s="18" t="str">
        <x:v>呉信用金庫</x:v>
      </x:c>
      <x:c r="C213" s="18" t="str">
        <x:v>呉</x:v>
      </x:c>
      <x:c r="D213" s="18" t="str">
        <x:v>広島県</x:v>
      </x:c>
      <x:c r="E213" s="18" t="str">
        <x:v>中国</x:v>
      </x:c>
      <x:c r="F213" s="18" t="str">
        <x:v>2025-03-31</x:v>
      </x:c>
      <x:c r="G213" s="18" t="str">
        <x:v>Basic Data Found</x:v>
      </x:c>
      <x:c r="H213" s="18" t="str"/>
      <x:c r="I213" s="18" t="str">
        <x:v>https://www.kure-shinkin.jp/about/keiei/disclosure.shtml</x:v>
      </x:c>
      <x:c r="J213" s="18" t="str">
        <x:v>https://www.shinkin-central-bank.jp/cgi-bin/s/index.cgi</x:v>
      </x:c>
      <x:c r="K213" s="52" t="n">
        <x:v>1752</x:v>
      </x:c>
      <x:c r="L213" s="60" t="n">
        <x:v>801124</x:v>
      </x:c>
      <x:c r="M213" s="60" t="n">
        <x:v>503170</x:v>
      </x:c>
      <x:c r="N213" s="63" t="n">
        <x:f>IFERROR(M213/L213,"")</x:f>
        <x:v>0.6280800475332158</x:v>
      </x:c>
      <x:c r="O213" s="62" t="n">
        <x:v>0.1124</x:v>
      </x:c>
      <x:c r="P213" s="62" t="n">
        <x:v>0.037000000000000005</x:v>
      </x:c>
      <x:c r="Q213" s="52" t="str">
        <x:v>https://www.fsa.go.jp/policy/chusho/shihyou.html</x:v>
      </x:c>
    </x:row>
    <x:row r="214">
      <x:c r="A214" s="18" t="n">
        <x:v>213</x:v>
      </x:c>
      <x:c r="B214" s="18" t="str">
        <x:v>しまなみ信用金庫</x:v>
      </x:c>
      <x:c r="C214" s="18" t="str">
        <x:v>しまなみ</x:v>
      </x:c>
      <x:c r="D214" s="18" t="str">
        <x:v>広島県</x:v>
      </x:c>
      <x:c r="E214" s="18" t="str">
        <x:v>中国</x:v>
      </x:c>
      <x:c r="F214" s="18" t="str">
        <x:v>2025-03-31</x:v>
      </x:c>
      <x:c r="G214" s="18" t="str">
        <x:v>Basic Data Found</x:v>
      </x:c>
      <x:c r="H214" s="18" t="str"/>
      <x:c r="I214" s="18" t="str">
        <x:v>https://www.shinkin.co.jp/shimanami/about/disclosure.html</x:v>
      </x:c>
      <x:c r="J214" s="18" t="str">
        <x:v>https://www.shinkin-central-bank.jp/cgi-bin/s/index.cgi</x:v>
      </x:c>
      <x:c r="K214" s="52" t="n">
        <x:v>1756</x:v>
      </x:c>
      <x:c r="L214" s="60" t="n">
        <x:v>376611</x:v>
      </x:c>
      <x:c r="M214" s="60" t="n">
        <x:v>157692</x:v>
      </x:c>
      <x:c r="N214" s="63" t="n">
        <x:f>IFERROR(M214/L214,"")</x:f>
        <x:v>0.4187132080581821</x:v>
      </x:c>
      <x:c r="O214" s="62" t="n">
        <x:v>0.09970000000000001</x:v>
      </x:c>
      <x:c r="P214" s="62" t="n">
        <x:v>0.0724</x:v>
      </x:c>
      <x:c r="Q214" s="52" t="str">
        <x:v>https://www.fsa.go.jp/policy/chusho/shihyou.html</x:v>
      </x:c>
    </x:row>
    <x:row r="215">
      <x:c r="A215" s="18" t="n">
        <x:v>214</x:v>
      </x:c>
      <x:c r="B215" s="18" t="str">
        <x:v>広島みどり信用金庫</x:v>
      </x:c>
      <x:c r="C215" s="18" t="str">
        <x:v>広島みどり</x:v>
      </x:c>
      <x:c r="D215" s="18" t="str">
        <x:v>広島県</x:v>
      </x:c>
      <x:c r="E215" s="18" t="str">
        <x:v>中国</x:v>
      </x:c>
      <x:c r="F215" s="18" t="str">
        <x:v>2025-03-31</x:v>
      </x:c>
      <x:c r="G215" s="18" t="str">
        <x:v>Basic Data Found</x:v>
      </x:c>
      <x:c r="H215" s="18" t="str"/>
      <x:c r="I215" s="18" t="str">
        <x:v>https://www.shinkin.co.jp/midori/disclosure/index.html</x:v>
      </x:c>
      <x:c r="J215" s="18" t="str">
        <x:v>https://www.shinkin-central-bank.jp/cgi-bin/s/index.cgi</x:v>
      </x:c>
      <x:c r="K215" s="52" t="n">
        <x:v>1758</x:v>
      </x:c>
      <x:c r="L215" s="60" t="n">
        <x:v>94987</x:v>
      </x:c>
      <x:c r="M215" s="60" t="n">
        <x:v>39475</x:v>
      </x:c>
      <x:c r="N215" s="63" t="n">
        <x:f>IFERROR(M215/L215,"")</x:f>
        <x:v>0.4155831850674303</x:v>
      </x:c>
      <x:c r="O215" s="62" t="n">
        <x:v>0.1726</x:v>
      </x:c>
      <x:c r="P215" s="62" t="n">
        <x:v>0.022400000000000003</x:v>
      </x:c>
      <x:c r="Q215" s="52" t="str">
        <x:v>https://www.fsa.go.jp/policy/chusho/shihyou.html</x:v>
      </x:c>
    </x:row>
    <x:row r="216">
      <x:c r="A216" s="18" t="n">
        <x:v>215</x:v>
      </x:c>
      <x:c r="B216" s="18" t="str">
        <x:v>萩山口信用金庫</x:v>
      </x:c>
      <x:c r="C216" s="18" t="str">
        <x:v>萩山口</x:v>
      </x:c>
      <x:c r="D216" s="18" t="str">
        <x:v>山口県</x:v>
      </x:c>
      <x:c r="E216" s="18" t="str">
        <x:v>中国</x:v>
      </x:c>
      <x:c r="F216" s="18" t="str">
        <x:v>2025-03-31</x:v>
      </x:c>
      <x:c r="G216" s="18" t="str">
        <x:v>Basic Data Found</x:v>
      </x:c>
      <x:c r="H216" s="18" t="str"/>
      <x:c r="I216" s="18" t="str">
        <x:v>https://www.shinkin.co.jp/hagiyamaguchi/about/disclosure.html</x:v>
      </x:c>
      <x:c r="J216" s="18" t="str">
        <x:v>https://www.shinkin-central-bank.jp/cgi-bin/s/index.cgi</x:v>
      </x:c>
      <x:c r="K216" s="52" t="n">
        <x:v>1780</x:v>
      </x:c>
      <x:c r="L216" s="60" t="n">
        <x:v>202946</x:v>
      </x:c>
      <x:c r="M216" s="60" t="n">
        <x:v>99949</x:v>
      </x:c>
      <x:c r="N216" s="63" t="n">
        <x:f>IFERROR(M216/L216,"")</x:f>
        <x:v>0.4924906132665832</x:v>
      </x:c>
      <x:c r="O216" s="62" t="n">
        <x:v>0.1434</x:v>
      </x:c>
      <x:c r="P216" s="62" t="n">
        <x:v>0.034</x:v>
      </x:c>
      <x:c r="Q216" s="52" t="str">
        <x:v>https://www.fsa.go.jp/policy/chusho/shihyou.html</x:v>
      </x:c>
    </x:row>
    <x:row r="217">
      <x:c r="A217" s="18" t="n">
        <x:v>216</x:v>
      </x:c>
      <x:c r="B217" s="18" t="str">
        <x:v>西中国信用金庫</x:v>
      </x:c>
      <x:c r="C217" s="18" t="str">
        <x:v>西中国</x:v>
      </x:c>
      <x:c r="D217" s="18" t="str">
        <x:v>山口県</x:v>
      </x:c>
      <x:c r="E217" s="18" t="str">
        <x:v>中国</x:v>
      </x:c>
      <x:c r="F217" s="18" t="str">
        <x:v>2025-03-31</x:v>
      </x:c>
      <x:c r="G217" s="18" t="str">
        <x:v>Basic Data Found</x:v>
      </x:c>
      <x:c r="H217" s="18" t="str"/>
      <x:c r="I217" s="18" t="str">
        <x:v>https://www.shinkin.co.jp/nishichugoku/about/disclosure.php</x:v>
      </x:c>
      <x:c r="J217" s="18" t="str">
        <x:v>https://www.shinkin-central-bank.jp/cgi-bin/s/index.cgi</x:v>
      </x:c>
      <x:c r="K217" s="52" t="n">
        <x:v>1781</x:v>
      </x:c>
      <x:c r="L217" s="60" t="n">
        <x:v>510962</x:v>
      </x:c>
      <x:c r="M217" s="60" t="n">
        <x:v>277628</x:v>
      </x:c>
      <x:c r="N217" s="63" t="n">
        <x:f>IFERROR(M217/L217,"")</x:f>
        <x:v>0.5433437320192108</x:v>
      </x:c>
      <x:c r="O217" s="62" t="n">
        <x:v>0.0956</x:v>
      </x:c>
      <x:c r="P217" s="62" t="n">
        <x:v>0.0629</x:v>
      </x:c>
      <x:c r="Q217" s="52" t="str">
        <x:v>https://www.fsa.go.jp/policy/chusho/shihyou.html</x:v>
      </x:c>
    </x:row>
    <x:row r="218">
      <x:c r="A218" s="18" t="n">
        <x:v>217</x:v>
      </x:c>
      <x:c r="B218" s="18" t="str">
        <x:v>東山口信用金庫</x:v>
      </x:c>
      <x:c r="C218" s="18" t="str">
        <x:v>東山口</x:v>
      </x:c>
      <x:c r="D218" s="18" t="str">
        <x:v>山口県</x:v>
      </x:c>
      <x:c r="E218" s="18" t="str">
        <x:v>中国</x:v>
      </x:c>
      <x:c r="F218" s="18" t="str">
        <x:v>2025-03-31</x:v>
      </x:c>
      <x:c r="G218" s="18" t="str">
        <x:v>Basic Data Found</x:v>
      </x:c>
      <x:c r="H218" s="18" t="str"/>
      <x:c r="I218" s="18" t="str">
        <x:v>http://www.higashiyamaguchi-shinkin.co.jp/about/disclosure/</x:v>
      </x:c>
      <x:c r="J218" s="18" t="str">
        <x:v>https://www.shinkin-central-bank.jp/cgi-bin/s/index.cgi</x:v>
      </x:c>
      <x:c r="K218" s="52" t="n">
        <x:v>1789</x:v>
      </x:c>
      <x:c r="L218" s="60" t="n">
        <x:v>205310</x:v>
      </x:c>
      <x:c r="M218" s="60" t="n">
        <x:v>104536</x:v>
      </x:c>
      <x:c r="N218" s="63" t="n">
        <x:f>IFERROR(M218/L218,"")</x:f>
        <x:v>0.5091617553942818</x:v>
      </x:c>
      <x:c r="O218" s="62" t="n">
        <x:v>0.1164</x:v>
      </x:c>
      <x:c r="P218" s="62" t="n">
        <x:v>0.0263</x:v>
      </x:c>
      <x:c r="Q218" s="52" t="str">
        <x:v>https://www.fsa.go.jp/policy/chusho/shihyou.html</x:v>
      </x:c>
    </x:row>
    <x:row r="219">
      <x:c r="A219" s="18" t="n">
        <x:v>218</x:v>
      </x:c>
      <x:c r="B219" s="18" t="str">
        <x:v>徳島信用金庫</x:v>
      </x:c>
      <x:c r="C219" s="18" t="str">
        <x:v>徳島</x:v>
      </x:c>
      <x:c r="D219" s="18" t="str">
        <x:v>徳島県</x:v>
      </x:c>
      <x:c r="E219" s="18" t="str">
        <x:v>四国</x:v>
      </x:c>
      <x:c r="F219" s="18" t="str">
        <x:v>2025-03-31</x:v>
      </x:c>
      <x:c r="G219" s="18" t="str">
        <x:v>Basic Data Found</x:v>
      </x:c>
      <x:c r="H219" s="18" t="str"/>
      <x:c r="I219" s="18" t="str">
        <x:v>https://www.shinkin.co.jp/tokusima/about/disclosure.html</x:v>
      </x:c>
      <x:c r="J219" s="18" t="str">
        <x:v>https://www.shinkin-central-bank.jp/cgi-bin/s/index.cgi</x:v>
      </x:c>
      <x:c r="K219" s="52" t="n">
        <x:v>1801</x:v>
      </x:c>
      <x:c r="L219" s="60" t="n">
        <x:v>207018</x:v>
      </x:c>
      <x:c r="M219" s="60" t="n">
        <x:v>95757</x:v>
      </x:c>
      <x:c r="N219" s="63" t="n">
        <x:f>IFERROR(M219/L219,"")</x:f>
        <x:v>0.4625539808132626</x:v>
      </x:c>
      <x:c r="O219" s="62" t="n">
        <x:v>0.1152</x:v>
      </x:c>
      <x:c r="P219" s="62" t="n">
        <x:v>0.0447</x:v>
      </x:c>
      <x:c r="Q219" s="52" t="str">
        <x:v>https://www.fsa.go.jp/policy/chusho/shihyou.html</x:v>
      </x:c>
    </x:row>
    <x:row r="220">
      <x:c r="A220" s="18" t="n">
        <x:v>219</x:v>
      </x:c>
      <x:c r="B220" s="18" t="str">
        <x:v>阿南信用金庫</x:v>
      </x:c>
      <x:c r="C220" s="18" t="str">
        <x:v>阿南</x:v>
      </x:c>
      <x:c r="D220" s="18" t="str">
        <x:v>徳島県</x:v>
      </x:c>
      <x:c r="E220" s="18" t="str">
        <x:v>四国</x:v>
      </x:c>
      <x:c r="F220" s="18" t="str">
        <x:v>2025-03-31</x:v>
      </x:c>
      <x:c r="G220" s="18" t="str">
        <x:v>Basic Data Found</x:v>
      </x:c>
      <x:c r="H220" s="18" t="str"/>
      <x:c r="I220" s="18" t="str">
        <x:v>https://www.shinkin.co.jp/anan/company_profile/disclosure.html</x:v>
      </x:c>
      <x:c r="J220" s="18" t="str">
        <x:v>https://www.shinkin-central-bank.jp/cgi-bin/s/index.cgi</x:v>
      </x:c>
      <x:c r="K220" s="52" t="n">
        <x:v>1803</x:v>
      </x:c>
      <x:c r="L220" s="60" t="n">
        <x:v>107981</x:v>
      </x:c>
      <x:c r="M220" s="60" t="n">
        <x:v>64095</x:v>
      </x:c>
      <x:c r="N220" s="63" t="n">
        <x:f>IFERROR(M220/L220,"")</x:f>
        <x:v>0.5935766477435845</x:v>
      </x:c>
      <x:c r="O220" s="62" t="n">
        <x:v>0.0851</x:v>
      </x:c>
      <x:c r="P220" s="62" t="n">
        <x:v>0.1007</x:v>
      </x:c>
      <x:c r="Q220" s="52" t="str">
        <x:v>https://www.fsa.go.jp/policy/chusho/shihyou.html</x:v>
      </x:c>
    </x:row>
    <x:row r="221">
      <x:c r="A221" s="18" t="n">
        <x:v>220</x:v>
      </x:c>
      <x:c r="B221" s="18" t="str">
        <x:v>高松信用金庫</x:v>
      </x:c>
      <x:c r="C221" s="18" t="str">
        <x:v>高松</x:v>
      </x:c>
      <x:c r="D221" s="18" t="str">
        <x:v>香川県</x:v>
      </x:c>
      <x:c r="E221" s="18" t="str">
        <x:v>四国</x:v>
      </x:c>
      <x:c r="F221" s="18" t="str">
        <x:v>2025-03-31</x:v>
      </x:c>
      <x:c r="G221" s="18" t="str">
        <x:v>Basic Data Found</x:v>
      </x:c>
      <x:c r="H221" s="18" t="str"/>
      <x:c r="I221" s="18" t="str">
        <x:v>https://www.takashin.co.jp/disclosure/</x:v>
      </x:c>
      <x:c r="J221" s="18" t="str">
        <x:v>https://www.shinkin-central-bank.jp/cgi-bin/s/index.cgi</x:v>
      </x:c>
      <x:c r="K221" s="52" t="n">
        <x:v>1830</x:v>
      </x:c>
      <x:c r="L221" s="60" t="n">
        <x:v>509162</x:v>
      </x:c>
      <x:c r="M221" s="60" t="n">
        <x:v>236668</x:v>
      </x:c>
      <x:c r="N221" s="63" t="n">
        <x:f>IFERROR(M221/L221,"")</x:f>
        <x:v>0.46481866282244155</x:v>
      </x:c>
      <x:c r="O221" s="62" t="n">
        <x:v>0.1204</x:v>
      </x:c>
      <x:c r="P221" s="62" t="n">
        <x:v>0.055</x:v>
      </x:c>
      <x:c r="Q221" s="52" t="str">
        <x:v>https://www.fsa.go.jp/policy/chusho/shihyou.html</x:v>
      </x:c>
    </x:row>
    <x:row r="222">
      <x:c r="A222" s="18" t="n">
        <x:v>221</x:v>
      </x:c>
      <x:c r="B222" s="18" t="str">
        <x:v>観音寺信用金庫</x:v>
      </x:c>
      <x:c r="C222" s="18" t="str">
        <x:v>観音寺</x:v>
      </x:c>
      <x:c r="D222" s="18" t="str">
        <x:v>香川県</x:v>
      </x:c>
      <x:c r="E222" s="18" t="str">
        <x:v>四国</x:v>
      </x:c>
      <x:c r="F222" s="18" t="str">
        <x:v>2025-03-31</x:v>
      </x:c>
      <x:c r="G222" s="18" t="str">
        <x:v>Basic Data Found</x:v>
      </x:c>
      <x:c r="H222" s="18" t="str"/>
      <x:c r="I222" s="18" t="str">
        <x:v>https://www.kanshin.co.jp/disclosure/</x:v>
      </x:c>
      <x:c r="J222" s="18" t="str">
        <x:v>https://www.shinkin-central-bank.jp/cgi-bin/s/index.cgi</x:v>
      </x:c>
      <x:c r="K222" s="52" t="n">
        <x:v>1833</x:v>
      </x:c>
      <x:c r="L222" s="60" t="n">
        <x:v>381698</x:v>
      </x:c>
      <x:c r="M222" s="60" t="n">
        <x:v>185818</x:v>
      </x:c>
      <x:c r="N222" s="63" t="n">
        <x:f>IFERROR(M222/L222,"")</x:f>
        <x:v>0.4868194226849499</x:v>
      </x:c>
      <x:c r="O222" s="62" t="n">
        <x:v>0.2245</x:v>
      </x:c>
      <x:c r="P222" s="62" t="n">
        <x:v>0.0235</x:v>
      </x:c>
      <x:c r="Q222" s="52" t="str">
        <x:v>https://www.fsa.go.jp/policy/chusho/shihyou.html</x:v>
      </x:c>
    </x:row>
    <x:row r="223">
      <x:c r="A223" s="18" t="n">
        <x:v>222</x:v>
      </x:c>
      <x:c r="B223" s="18" t="str">
        <x:v>愛媛信用金庫</x:v>
      </x:c>
      <x:c r="C223" s="18" t="str">
        <x:v>愛媛</x:v>
      </x:c>
      <x:c r="D223" s="18" t="str">
        <x:v>愛媛県</x:v>
      </x:c>
      <x:c r="E223" s="18" t="str">
        <x:v>四国</x:v>
      </x:c>
      <x:c r="F223" s="18" t="str">
        <x:v>2025-03-31</x:v>
      </x:c>
      <x:c r="G223" s="18" t="str">
        <x:v>Basic Data Found</x:v>
      </x:c>
      <x:c r="H223" s="18" t="str"/>
      <x:c r="I223" s="18" t="str">
        <x:v>https://www.shinkin.co.jp/ehime/disclosure/index.html</x:v>
      </x:c>
      <x:c r="J223" s="18" t="str">
        <x:v>https://www.shinkin-central-bank.jp/cgi-bin/s/index.cgi</x:v>
      </x:c>
      <x:c r="K223" s="52" t="n">
        <x:v>1860</x:v>
      </x:c>
      <x:c r="L223" s="60" t="n">
        <x:v>676018</x:v>
      </x:c>
      <x:c r="M223" s="60" t="n">
        <x:v>350890</x:v>
      </x:c>
      <x:c r="N223" s="63" t="n">
        <x:f>IFERROR(M223/L223,"")</x:f>
        <x:v>0.5190542263667536</x:v>
      </x:c>
      <x:c r="O223" s="62" t="n">
        <x:v>0.2086</x:v>
      </x:c>
      <x:c r="P223" s="62" t="n">
        <x:v>0.0435</x:v>
      </x:c>
      <x:c r="Q223" s="52" t="str">
        <x:v>https://www.fsa.go.jp/policy/chusho/shihyou.html</x:v>
      </x:c>
    </x:row>
    <x:row r="224">
      <x:c r="A224" s="18" t="n">
        <x:v>223</x:v>
      </x:c>
      <x:c r="B224" s="18" t="str">
        <x:v>宇和島信用金庫</x:v>
      </x:c>
      <x:c r="C224" s="18" t="str">
        <x:v>宇和島</x:v>
      </x:c>
      <x:c r="D224" s="18" t="str">
        <x:v>愛媛県</x:v>
      </x:c>
      <x:c r="E224" s="18" t="str">
        <x:v>四国</x:v>
      </x:c>
      <x:c r="F224" s="18" t="str">
        <x:v>2025-03-31</x:v>
      </x:c>
      <x:c r="G224" s="18" t="str">
        <x:v>Basic Data Found</x:v>
      </x:c>
      <x:c r="H224" s="18" t="str"/>
      <x:c r="I224" s="18" t="str">
        <x:v>https://www.shinkin.co.jp/uwajima/about/disclosure/</x:v>
      </x:c>
      <x:c r="J224" s="18" t="str">
        <x:v>https://www.shinkin-central-bank.jp/cgi-bin/s/index.cgi</x:v>
      </x:c>
      <x:c r="K224" s="52" t="n">
        <x:v>1862</x:v>
      </x:c>
      <x:c r="L224" s="60" t="n">
        <x:v>110412</x:v>
      </x:c>
      <x:c r="M224" s="60" t="n">
        <x:v>66620</x:v>
      </x:c>
      <x:c r="N224" s="63" t="n">
        <x:f>IFERROR(M224/L224,"")</x:f>
        <x:v>0.6033764445893562</x:v>
      </x:c>
      <x:c r="O224" s="62" t="n">
        <x:v>0.0987</x:v>
      </x:c>
      <x:c r="P224" s="62" t="n">
        <x:v>0.0341</x:v>
      </x:c>
      <x:c r="Q224" s="52" t="str">
        <x:v>https://www.fsa.go.jp/policy/chusho/shihyou.html</x:v>
      </x:c>
    </x:row>
    <x:row r="225">
      <x:c r="A225" s="18" t="n">
        <x:v>224</x:v>
      </x:c>
      <x:c r="B225" s="18" t="str">
        <x:v>東予信用金庫</x:v>
      </x:c>
      <x:c r="C225" s="18" t="str">
        <x:v>東予</x:v>
      </x:c>
      <x:c r="D225" s="18" t="str">
        <x:v>愛媛県</x:v>
      </x:c>
      <x:c r="E225" s="18" t="str">
        <x:v>四国</x:v>
      </x:c>
      <x:c r="F225" s="18" t="str">
        <x:v>2025-03-31</x:v>
      </x:c>
      <x:c r="G225" s="18" t="str">
        <x:v>Basic Data Found</x:v>
      </x:c>
      <x:c r="H225" s="18" t="str"/>
      <x:c r="I225" s="18" t="str">
        <x:v>http://www.toyoshinkin.co.jp/about/disclosure.html</x:v>
      </x:c>
      <x:c r="J225" s="18" t="str">
        <x:v>https://www.shinkin-central-bank.jp/cgi-bin/s/index.cgi</x:v>
      </x:c>
      <x:c r="K225" s="52" t="n">
        <x:v>1864</x:v>
      </x:c>
      <x:c r="L225" s="60" t="n">
        <x:v>107644</x:v>
      </x:c>
      <x:c r="M225" s="60" t="n">
        <x:v>52424</x:v>
      </x:c>
      <x:c r="N225" s="63" t="n">
        <x:f>IFERROR(M225/L225,"")</x:f>
        <x:v>0.48701274571736464</x:v>
      </x:c>
      <x:c r="O225" s="62" t="n">
        <x:v>0.1548</x:v>
      </x:c>
      <x:c r="P225" s="62" t="n">
        <x:v>0.0487</x:v>
      </x:c>
      <x:c r="Q225" s="52" t="str">
        <x:v>https://www.fsa.go.jp/policy/chusho/shihyou.html</x:v>
      </x:c>
    </x:row>
    <x:row r="226">
      <x:c r="A226" s="18" t="n">
        <x:v>225</x:v>
      </x:c>
      <x:c r="B226" s="18" t="str">
        <x:v>川之江信用金庫</x:v>
      </x:c>
      <x:c r="C226" s="18" t="str">
        <x:v>川之江</x:v>
      </x:c>
      <x:c r="D226" s="18" t="str">
        <x:v>愛媛県</x:v>
      </x:c>
      <x:c r="E226" s="18" t="str">
        <x:v>四国</x:v>
      </x:c>
      <x:c r="F226" s="18" t="str">
        <x:v>2025-03-31</x:v>
      </x:c>
      <x:c r="G226" s="18" t="str">
        <x:v>Basic Data Found</x:v>
      </x:c>
      <x:c r="H226" s="18" t="str"/>
      <x:c r="I226" s="18" t="str">
        <x:v>https://www.kawanoe-shinkin.co.jp/about/disclose</x:v>
      </x:c>
      <x:c r="J226" s="18" t="str">
        <x:v>https://www.shinkin-central-bank.jp/cgi-bin/s/index.cgi</x:v>
      </x:c>
      <x:c r="K226" s="52" t="n">
        <x:v>1866</x:v>
      </x:c>
      <x:c r="L226" s="60" t="n">
        <x:v>89723</x:v>
      </x:c>
      <x:c r="M226" s="60" t="n">
        <x:v>44932</x:v>
      </x:c>
      <x:c r="N226" s="63" t="n">
        <x:f>IFERROR(M226/L226,"")</x:f>
        <x:v>0.500785751702462</x:v>
      </x:c>
      <x:c r="O226" s="62" t="n">
        <x:v>0.2391</x:v>
      </x:c>
      <x:c r="P226" s="62" t="n">
        <x:v>0.0132</x:v>
      </x:c>
      <x:c r="Q226" s="52" t="str">
        <x:v>https://www.fsa.go.jp/policy/chusho/shihyou.html</x:v>
      </x:c>
    </x:row>
    <x:row r="227">
      <x:c r="A227" s="18" t="n">
        <x:v>226</x:v>
      </x:c>
      <x:c r="B227" s="18" t="str">
        <x:v>幡多信用金庫</x:v>
      </x:c>
      <x:c r="C227" s="18" t="str">
        <x:v>幡多</x:v>
      </x:c>
      <x:c r="D227" s="18" t="str">
        <x:v>高知県</x:v>
      </x:c>
      <x:c r="E227" s="18" t="str">
        <x:v>四国</x:v>
      </x:c>
      <x:c r="F227" s="18" t="str">
        <x:v>2025-03-31</x:v>
      </x:c>
      <x:c r="G227" s="18" t="str">
        <x:v>Basic Data Found</x:v>
      </x:c>
      <x:c r="H227" s="18" t="str"/>
      <x:c r="I227" s="18" t="str">
        <x:v>http://www.shinkin.co.jp/hatashin/about/disclosure-business-report.html#s</x:v>
      </x:c>
      <x:c r="J227" s="18" t="str">
        <x:v>https://www.shinkin-central-bank.jp/cgi-bin/s/index.cgi</x:v>
      </x:c>
      <x:c r="K227" s="52" t="n">
        <x:v>1880</x:v>
      </x:c>
      <x:c r="L227" s="60" t="n">
        <x:v>161150</x:v>
      </x:c>
      <x:c r="M227" s="60" t="n">
        <x:v>99039</x:v>
      </x:c>
      <x:c r="N227" s="63" t="n">
        <x:f>IFERROR(M227/L227,"")</x:f>
        <x:v>0.6145764815389388</x:v>
      </x:c>
      <x:c r="O227" s="62" t="n">
        <x:v>0.2102</x:v>
      </x:c>
      <x:c r="P227" s="62" t="n">
        <x:v>0.030299999999999997</x:v>
      </x:c>
      <x:c r="Q227" s="52" t="str">
        <x:v>https://www.fsa.go.jp/policy/chusho/shihyou.html</x:v>
      </x:c>
    </x:row>
    <x:row r="228">
      <x:c r="A228" s="18" t="n">
        <x:v>227</x:v>
      </x:c>
      <x:c r="B228" s="18" t="str">
        <x:v>高知信用金庫</x:v>
      </x:c>
      <x:c r="C228" s="18" t="str">
        <x:v>高知</x:v>
      </x:c>
      <x:c r="D228" s="18" t="str">
        <x:v>高知県</x:v>
      </x:c>
      <x:c r="E228" s="18" t="str">
        <x:v>四国</x:v>
      </x:c>
      <x:c r="F228" s="18" t="str">
        <x:v>2025-03-31</x:v>
      </x:c>
      <x:c r="G228" s="18" t="str">
        <x:v>IRRBB Found</x:v>
      </x:c>
      <x:c r="H228" s="18" t="str"/>
      <x:c r="I228" s="18" t="str">
        <x:v>http://www.combank.co.jp/</x:v>
      </x:c>
      <x:c r="J228" s="18" t="str">
        <x:v>https://www.shinkin-central-bank.jp/cgi-bin/s/index.cgi</x:v>
      </x:c>
      <x:c r="K228" s="52" t="n">
        <x:v>1881</x:v>
      </x:c>
      <x:c r="L228" s="60" t="n">
        <x:v>872968</x:v>
      </x:c>
      <x:c r="M228" s="60" t="n">
        <x:v>81348</x:v>
      </x:c>
      <x:c r="N228" s="63" t="n">
        <x:f>IFERROR(M228/L228,"")</x:f>
        <x:v>0.09318554632014003</x:v>
      </x:c>
      <x:c r="O228" s="62" t="n">
        <x:v>0.5602</x:v>
      </x:c>
      <x:c r="P228" s="62" t="n">
        <x:v>0.004699999999999999</x:v>
      </x:c>
      <x:c r="Q228" s="52" t="str">
        <x:v>https://www.fsa.go.jp/policy/chusho/shihyou.html</x:v>
      </x:c>
    </x:row>
    <x:row r="229">
      <x:c r="A229" s="18" t="n">
        <x:v>228</x:v>
      </x:c>
      <x:c r="B229" s="18" t="str">
        <x:v>福岡信用金庫</x:v>
      </x:c>
      <x:c r="C229" s="18" t="str">
        <x:v>福岡</x:v>
      </x:c>
      <x:c r="D229" s="18" t="str">
        <x:v>福岡県</x:v>
      </x:c>
      <x:c r="E229" s="18" t="str">
        <x:v>九州</x:v>
      </x:c>
      <x:c r="F229" s="18" t="str">
        <x:v>2025-03-31</x:v>
      </x:c>
      <x:c r="G229" s="18" t="str">
        <x:v>Basic Data Found</x:v>
      </x:c>
      <x:c r="H229" s="18" t="str"/>
      <x:c r="I229" s="18" t="str">
        <x:v>https://www.fukuoka-shinkin.co.jp/greeting.html</x:v>
      </x:c>
      <x:c r="J229" s="18" t="str">
        <x:v>https://www.shinkin-central-bank.jp/cgi-bin/s/index.cgi</x:v>
      </x:c>
      <x:c r="K229" s="52" t="n">
        <x:v>1901</x:v>
      </x:c>
      <x:c r="L229" s="60" t="n">
        <x:v>134169</x:v>
      </x:c>
      <x:c r="M229" s="60" t="n">
        <x:v>92027</x:v>
      </x:c>
      <x:c r="N229" s="63" t="n">
        <x:f>IFERROR(M229/L229,"")</x:f>
        <x:v>0.6859035991920638</x:v>
      </x:c>
      <x:c r="O229" s="62" t="n">
        <x:v>0.09359999999999999</x:v>
      </x:c>
      <x:c r="P229" s="62" t="n">
        <x:v>0.022799999999999997</x:v>
      </x:c>
      <x:c r="Q229" s="52" t="str">
        <x:v>https://www.fsa.go.jp/policy/chusho/shihyou.html</x:v>
      </x:c>
    </x:row>
    <x:row r="230">
      <x:c r="A230" s="18" t="n">
        <x:v>229</x:v>
      </x:c>
      <x:c r="B230" s="18" t="str">
        <x:v>福岡ひびき信用金庫</x:v>
      </x:c>
      <x:c r="C230" s="18" t="str">
        <x:v>福岡ひびき</x:v>
      </x:c>
      <x:c r="D230" s="18" t="str">
        <x:v>福岡県</x:v>
      </x:c>
      <x:c r="E230" s="18" t="str">
        <x:v>九州</x:v>
      </x:c>
      <x:c r="F230" s="18" t="str">
        <x:v>2025-03-31</x:v>
      </x:c>
      <x:c r="G230" s="18" t="str">
        <x:v>Basic Data Found</x:v>
      </x:c>
      <x:c r="H230" s="18" t="str"/>
      <x:c r="I230" s="18" t="str">
        <x:v>https://www.fukuokahibiki.co.jp/about/disclosure2025.php</x:v>
      </x:c>
      <x:c r="J230" s="18" t="str">
        <x:v>https://www.shinkin-central-bank.jp/cgi-bin/s/index.cgi</x:v>
      </x:c>
      <x:c r="K230" s="52" t="n">
        <x:v>1903</x:v>
      </x:c>
      <x:c r="L230" s="60" t="n">
        <x:v>799541</x:v>
      </x:c>
      <x:c r="M230" s="60" t="n">
        <x:v>419894</x:v>
      </x:c>
      <x:c r="N230" s="63" t="n">
        <x:f>IFERROR(M230/L230,"")</x:f>
        <x:v>0.525168815607955</x:v>
      </x:c>
      <x:c r="O230" s="62" t="n">
        <x:v>0.107</x:v>
      </x:c>
      <x:c r="P230" s="62" t="n">
        <x:v>0.026600000000000002</x:v>
      </x:c>
      <x:c r="Q230" s="52" t="str">
        <x:v>https://www.fsa.go.jp/policy/chusho/shihyou.html</x:v>
      </x:c>
    </x:row>
    <x:row r="231">
      <x:c r="A231" s="18" t="n">
        <x:v>230</x:v>
      </x:c>
      <x:c r="B231" s="18" t="str">
        <x:v>大牟田柳川信用金庫</x:v>
      </x:c>
      <x:c r="C231" s="18" t="str">
        <x:v>大牟田柳川</x:v>
      </x:c>
      <x:c r="D231" s="18" t="str">
        <x:v>福岡県</x:v>
      </x:c>
      <x:c r="E231" s="18" t="str">
        <x:v>九州</x:v>
      </x:c>
      <x:c r="F231" s="18" t="str">
        <x:v>2025-03-31</x:v>
      </x:c>
      <x:c r="G231" s="18" t="str">
        <x:v>Basic Data Found</x:v>
      </x:c>
      <x:c r="H231" s="18" t="str"/>
      <x:c r="I231" s="18" t="str">
        <x:v>https://www.shinkin.co.jp/omuta/disclosure/index.html</x:v>
      </x:c>
      <x:c r="J231" s="18" t="str">
        <x:v>https://www.shinkin-central-bank.jp/cgi-bin/s/index.cgi</x:v>
      </x:c>
      <x:c r="K231" s="52" t="n">
        <x:v>1908</x:v>
      </x:c>
      <x:c r="L231" s="60" t="n">
        <x:v>195451</x:v>
      </x:c>
      <x:c r="M231" s="60" t="n">
        <x:v>90986</x:v>
      </x:c>
      <x:c r="N231" s="63" t="n">
        <x:f>IFERROR(M231/L231,"")</x:f>
        <x:v>0.46551821172570107</x:v>
      </x:c>
      <x:c r="O231" s="62" t="n">
        <x:v>0.158</x:v>
      </x:c>
      <x:c r="P231" s="62" t="n">
        <x:v>0.0579</x:v>
      </x:c>
      <x:c r="Q231" s="52" t="str">
        <x:v>https://www.fsa.go.jp/policy/chusho/shihyou.html</x:v>
      </x:c>
    </x:row>
    <x:row r="232">
      <x:c r="A232" s="18" t="n">
        <x:v>231</x:v>
      </x:c>
      <x:c r="B232" s="18" t="str">
        <x:v>筑後信用金庫</x:v>
      </x:c>
      <x:c r="C232" s="18" t="str">
        <x:v>筑後</x:v>
      </x:c>
      <x:c r="D232" s="18" t="str">
        <x:v>福岡県</x:v>
      </x:c>
      <x:c r="E232" s="18" t="str">
        <x:v>九州</x:v>
      </x:c>
      <x:c r="F232" s="18" t="str">
        <x:v>2025-03-31</x:v>
      </x:c>
      <x:c r="G232" s="18" t="str">
        <x:v>Basic Data Found</x:v>
      </x:c>
      <x:c r="H232" s="18" t="str"/>
      <x:c r="I232" s="18" t="str">
        <x:v>https://www.shinkin.co.jp/chikugo/chikus_disclosure.shtml</x:v>
      </x:c>
      <x:c r="J232" s="18" t="str">
        <x:v>https://www.shinkin-central-bank.jp/cgi-bin/s/index.cgi</x:v>
      </x:c>
      <x:c r="K232" s="52" t="n">
        <x:v>1909</x:v>
      </x:c>
      <x:c r="L232" s="60" t="n">
        <x:v>168263</x:v>
      </x:c>
      <x:c r="M232" s="60" t="n">
        <x:v>105265</x:v>
      </x:c>
      <x:c r="N232" s="63" t="n">
        <x:f>IFERROR(M232/L232,"")</x:f>
        <x:v>0.6255980221439057</x:v>
      </x:c>
      <x:c r="O232" s="62" t="n">
        <x:v>0.1636</x:v>
      </x:c>
      <x:c r="P232" s="62" t="n">
        <x:v>0.0354</x:v>
      </x:c>
      <x:c r="Q232" s="52" t="str">
        <x:v>https://www.fsa.go.jp/policy/chusho/shihyou.html</x:v>
      </x:c>
    </x:row>
    <x:row r="233">
      <x:c r="A233" s="18" t="n">
        <x:v>232</x:v>
      </x:c>
      <x:c r="B233" s="18" t="str">
        <x:v>飯塚信用金庫</x:v>
      </x:c>
      <x:c r="C233" s="18" t="str">
        <x:v>飯塚</x:v>
      </x:c>
      <x:c r="D233" s="18" t="str">
        <x:v>福岡県</x:v>
      </x:c>
      <x:c r="E233" s="18" t="str">
        <x:v>九州</x:v>
      </x:c>
      <x:c r="F233" s="18" t="str">
        <x:v>2025-03-31</x:v>
      </x:c>
      <x:c r="G233" s="18" t="str">
        <x:v>Basic Data Found</x:v>
      </x:c>
      <x:c r="H233" s="18" t="str"/>
      <x:c r="I233" s="18" t="str">
        <x:v>https://www.shinkin.co.jp/iizuka/about-bank.html#disclosure</x:v>
      </x:c>
      <x:c r="J233" s="18" t="str">
        <x:v>https://www.shinkin-central-bank.jp/cgi-bin/s/index.cgi</x:v>
      </x:c>
      <x:c r="K233" s="52" t="n">
        <x:v>1910</x:v>
      </x:c>
      <x:c r="L233" s="60" t="n">
        <x:v>278700</x:v>
      </x:c>
      <x:c r="M233" s="60" t="n">
        <x:v>163646</x:v>
      </x:c>
      <x:c r="N233" s="63" t="n">
        <x:f>IFERROR(M233/L233,"")</x:f>
        <x:v>0.5871761750986724</x:v>
      </x:c>
      <x:c r="O233" s="62" t="n">
        <x:v>0.1772</x:v>
      </x:c>
      <x:c r="P233" s="62" t="n">
        <x:v>0.0348</x:v>
      </x:c>
      <x:c r="Q233" s="52" t="str">
        <x:v>https://www.fsa.go.jp/policy/chusho/shihyou.html</x:v>
      </x:c>
    </x:row>
    <x:row r="234">
      <x:c r="A234" s="18" t="n">
        <x:v>233</x:v>
      </x:c>
      <x:c r="B234" s="18" t="str">
        <x:v>田川信用金庫</x:v>
      </x:c>
      <x:c r="C234" s="18" t="str">
        <x:v>田川</x:v>
      </x:c>
      <x:c r="D234" s="18" t="str">
        <x:v>福岡県</x:v>
      </x:c>
      <x:c r="E234" s="18" t="str">
        <x:v>九州</x:v>
      </x:c>
      <x:c r="F234" s="18" t="str">
        <x:v>2025-03-31</x:v>
      </x:c>
      <x:c r="G234" s="18" t="str">
        <x:v>Basic Data Found</x:v>
      </x:c>
      <x:c r="H234" s="18" t="str"/>
      <x:c r="I234" s="18" t="str">
        <x:v>https://www.tagawashinkin.co.jp/about/disclosure/</x:v>
      </x:c>
      <x:c r="J234" s="18" t="str">
        <x:v>https://www.shinkin-central-bank.jp/cgi-bin/s/index.cgi</x:v>
      </x:c>
      <x:c r="K234" s="52" t="n">
        <x:v>1913</x:v>
      </x:c>
      <x:c r="L234" s="60" t="n">
        <x:v>69561</x:v>
      </x:c>
      <x:c r="M234" s="60" t="n">
        <x:v>26963</x:v>
      </x:c>
      <x:c r="N234" s="63" t="n">
        <x:f>IFERROR(M234/L234,"")</x:f>
        <x:v>0.38761662425784565</x:v>
      </x:c>
      <x:c r="O234" s="62" t="n">
        <x:v>0.1033</x:v>
      </x:c>
      <x:c r="P234" s="62" t="n">
        <x:v>0.049800000000000004</x:v>
      </x:c>
      <x:c r="Q234" s="52" t="str">
        <x:v>https://www.fsa.go.jp/policy/chusho/shihyou.html</x:v>
      </x:c>
    </x:row>
    <x:row r="235">
      <x:c r="A235" s="18" t="n">
        <x:v>234</x:v>
      </x:c>
      <x:c r="B235" s="18" t="str">
        <x:v>大川信用金庫</x:v>
      </x:c>
      <x:c r="C235" s="18" t="str">
        <x:v>大川</x:v>
      </x:c>
      <x:c r="D235" s="18" t="str">
        <x:v>福岡県</x:v>
      </x:c>
      <x:c r="E235" s="18" t="str">
        <x:v>九州</x:v>
      </x:c>
      <x:c r="F235" s="18" t="str">
        <x:v>2025-03-31</x:v>
      </x:c>
      <x:c r="G235" s="18" t="str">
        <x:v>Basic Data Found</x:v>
      </x:c>
      <x:c r="H235" s="18" t="str"/>
      <x:c r="I235" s="18" t="str">
        <x:v>http://www.shinkin.co.jp/ookawa/info/rinen_discro.html</x:v>
      </x:c>
      <x:c r="J235" s="18" t="str">
        <x:v>https://www.shinkin-central-bank.jp/cgi-bin/s/index.cgi</x:v>
      </x:c>
      <x:c r="K235" s="52" t="n">
        <x:v>1917</x:v>
      </x:c>
      <x:c r="L235" s="60" t="n">
        <x:v>156094</x:v>
      </x:c>
      <x:c r="M235" s="60" t="n">
        <x:v>62531</x:v>
      </x:c>
      <x:c r="N235" s="63" t="n">
        <x:f>IFERROR(M235/L235,"")</x:f>
        <x:v>0.4005983574000282</x:v>
      </x:c>
      <x:c r="O235" s="62" t="n">
        <x:v>0.1728</x:v>
      </x:c>
      <x:c r="P235" s="62" t="n">
        <x:v>0.0904</x:v>
      </x:c>
      <x:c r="Q235" s="52" t="str">
        <x:v>https://www.fsa.go.jp/policy/chusho/shihyou.html</x:v>
      </x:c>
    </x:row>
    <x:row r="236">
      <x:c r="A236" s="18" t="n">
        <x:v>235</x:v>
      </x:c>
      <x:c r="B236" s="18" t="str">
        <x:v>遠賀信用金庫</x:v>
      </x:c>
      <x:c r="C236" s="18" t="str">
        <x:v>遠賀</x:v>
      </x:c>
      <x:c r="D236" s="18" t="str">
        <x:v>福岡県</x:v>
      </x:c>
      <x:c r="E236" s="18" t="str">
        <x:v>九州</x:v>
      </x:c>
      <x:c r="F236" s="18" t="str">
        <x:v>2025-03-31</x:v>
      </x:c>
      <x:c r="G236" s="18" t="str">
        <x:v>Basic Data Found</x:v>
      </x:c>
      <x:c r="H236" s="18" t="str"/>
      <x:c r="I236" s="18" t="str">
        <x:v>https://www.shinkin.co.jp/onga/about/disclosure.html</x:v>
      </x:c>
      <x:c r="J236" s="18" t="str">
        <x:v>https://www.shinkin-central-bank.jp/cgi-bin/s/index.cgi</x:v>
      </x:c>
      <x:c r="K236" s="52" t="n">
        <x:v>1920</x:v>
      </x:c>
      <x:c r="L236" s="60" t="n">
        <x:v>266542</x:v>
      </x:c>
      <x:c r="M236" s="60" t="n">
        <x:v>183393</x:v>
      </x:c>
      <x:c r="N236" s="63" t="n">
        <x:f>IFERROR(M236/L236,"")</x:f>
        <x:v>0.6880454112297499</x:v>
      </x:c>
      <x:c r="O236" s="62" t="n">
        <x:v>0.1441</x:v>
      </x:c>
      <x:c r="P236" s="62" t="n">
        <x:v>0.030699999999999998</x:v>
      </x:c>
      <x:c r="Q236" s="52" t="str">
        <x:v>https://www.fsa.go.jp/policy/chusho/shihyou.html</x:v>
      </x:c>
    </x:row>
    <x:row r="237">
      <x:c r="A237" s="18" t="n">
        <x:v>236</x:v>
      </x:c>
      <x:c r="B237" s="18" t="str">
        <x:v>唐津信用金庫</x:v>
      </x:c>
      <x:c r="C237" s="18" t="str">
        <x:v>唐津</x:v>
      </x:c>
      <x:c r="D237" s="18" t="str">
        <x:v>佐賀県</x:v>
      </x:c>
      <x:c r="E237" s="18" t="str">
        <x:v>九州</x:v>
      </x:c>
      <x:c r="F237" s="18" t="str">
        <x:v>2025-03-31</x:v>
      </x:c>
      <x:c r="G237" s="18" t="str">
        <x:v>Basic Data Found</x:v>
      </x:c>
      <x:c r="H237" s="18" t="str"/>
      <x:c r="I237" s="18" t="str">
        <x:v>https://www.karashin.co.jp/pages/19/</x:v>
      </x:c>
      <x:c r="J237" s="18" t="str">
        <x:v>https://www.shinkin-central-bank.jp/cgi-bin/s/index.cgi</x:v>
      </x:c>
      <x:c r="K237" s="52" t="n">
        <x:v>1930</x:v>
      </x:c>
      <x:c r="L237" s="60" t="n">
        <x:v>95549</x:v>
      </x:c>
      <x:c r="M237" s="60" t="n">
        <x:v>54315</x:v>
      </x:c>
      <x:c r="N237" s="63" t="n">
        <x:f>IFERROR(M237/L237,"")</x:f>
        <x:v>0.5684517891343709</x:v>
      </x:c>
      <x:c r="O237" s="62" t="n">
        <x:v>0.085</x:v>
      </x:c>
      <x:c r="P237" s="62" t="n">
        <x:v>0.0403</x:v>
      </x:c>
      <x:c r="Q237" s="52" t="str">
        <x:v>https://www.fsa.go.jp/policy/chusho/shihyou.html</x:v>
      </x:c>
    </x:row>
    <x:row r="238">
      <x:c r="A238" s="18" t="n">
        <x:v>237</x:v>
      </x:c>
      <x:c r="B238" s="18" t="str">
        <x:v>佐賀信用金庫</x:v>
      </x:c>
      <x:c r="C238" s="18" t="str">
        <x:v>佐賀</x:v>
      </x:c>
      <x:c r="D238" s="18" t="str">
        <x:v>佐賀県</x:v>
      </x:c>
      <x:c r="E238" s="18" t="str">
        <x:v>九州</x:v>
      </x:c>
      <x:c r="F238" s="18" t="str">
        <x:v>2025-03-31</x:v>
      </x:c>
      <x:c r="G238" s="18" t="str">
        <x:v>Basic Data Found</x:v>
      </x:c>
      <x:c r="H238" s="18" t="str"/>
      <x:c r="I238" s="18" t="str">
        <x:v>https://www.shinkin.co.jp/saga/about/disclosure/index.html</x:v>
      </x:c>
      <x:c r="J238" s="18" t="str">
        <x:v>https://www.shinkin-central-bank.jp/cgi-bin/s/index.cgi</x:v>
      </x:c>
      <x:c r="K238" s="52" t="n">
        <x:v>1931</x:v>
      </x:c>
      <x:c r="L238" s="60" t="n">
        <x:v>133672</x:v>
      </x:c>
      <x:c r="M238" s="60" t="n">
        <x:v>72493</x:v>
      </x:c>
      <x:c r="N238" s="63" t="n">
        <x:f>IFERROR(M238/L238,"")</x:f>
        <x:v>0.5423200071817583</x:v>
      </x:c>
      <x:c r="O238" s="62" t="n">
        <x:v>0.1134</x:v>
      </x:c>
      <x:c r="P238" s="62" t="n">
        <x:v>0.0358</x:v>
      </x:c>
      <x:c r="Q238" s="52" t="str">
        <x:v>https://www.fsa.go.jp/policy/chusho/shihyou.html</x:v>
      </x:c>
    </x:row>
    <x:row r="239">
      <x:c r="A239" s="18" t="n">
        <x:v>238</x:v>
      </x:c>
      <x:c r="B239" s="18" t="str">
        <x:v>伊万里信用金庫</x:v>
      </x:c>
      <x:c r="C239" s="18" t="str">
        <x:v>伊万里</x:v>
      </x:c>
      <x:c r="D239" s="18" t="str">
        <x:v>佐賀県</x:v>
      </x:c>
      <x:c r="E239" s="18" t="str">
        <x:v>九州</x:v>
      </x:c>
      <x:c r="F239" s="18" t="str">
        <x:v>2025-03-31</x:v>
      </x:c>
      <x:c r="G239" s="18" t="str">
        <x:v>Basic Data Found</x:v>
      </x:c>
      <x:c r="H239" s="18" t="str"/>
      <x:c r="I239" s="18" t="str">
        <x:v>https://www.shinkin.co.jp/imari/about/disclosure.html</x:v>
      </x:c>
      <x:c r="J239" s="18" t="str">
        <x:v>https://www.shinkin-central-bank.jp/cgi-bin/s/index.cgi</x:v>
      </x:c>
      <x:c r="K239" s="52" t="n">
        <x:v>1932</x:v>
      </x:c>
      <x:c r="L239" s="60" t="n">
        <x:v>99559</x:v>
      </x:c>
      <x:c r="M239" s="60" t="n">
        <x:v>64728</x:v>
      </x:c>
      <x:c r="N239" s="63" t="n">
        <x:f>IFERROR(M239/L239,"")</x:f>
        <x:v>0.6501471489267671</x:v>
      </x:c>
      <x:c r="O239" s="62" t="n">
        <x:v>0.11380000000000001</x:v>
      </x:c>
      <x:c r="P239" s="62" t="n">
        <x:v>0.0304</x:v>
      </x:c>
      <x:c r="Q239" s="52" t="str">
        <x:v>https://www.fsa.go.jp/policy/chusho/shihyou.html</x:v>
      </x:c>
    </x:row>
    <x:row r="240">
      <x:c r="A240" s="18" t="n">
        <x:v>239</x:v>
      </x:c>
      <x:c r="B240" s="18" t="str">
        <x:v>九州ひぜん信用金庫</x:v>
      </x:c>
      <x:c r="C240" s="18" t="str">
        <x:v>九州ひぜん</x:v>
      </x:c>
      <x:c r="D240" s="18" t="str">
        <x:v>佐賀県</x:v>
      </x:c>
      <x:c r="E240" s="18" t="str">
        <x:v>九州</x:v>
      </x:c>
      <x:c r="F240" s="18" t="str">
        <x:v>2025-03-31</x:v>
      </x:c>
      <x:c r="G240" s="18" t="str">
        <x:v>Basic Data Found</x:v>
      </x:c>
      <x:c r="H240" s="18" t="str"/>
      <x:c r="I240" s="18" t="str">
        <x:v>https://www.qhize.com/information/disclosure.php</x:v>
      </x:c>
      <x:c r="J240" s="18" t="str">
        <x:v>https://www.shinkin-central-bank.jp/cgi-bin/s/index.cgi</x:v>
      </x:c>
      <x:c r="K240" s="52" t="n">
        <x:v>1933</x:v>
      </x:c>
      <x:c r="L240" s="60" t="n">
        <x:v>162636</x:v>
      </x:c>
      <x:c r="M240" s="60" t="n">
        <x:v>90378</x:v>
      </x:c>
      <x:c r="N240" s="63" t="n">
        <x:f>IFERROR(M240/L240,"")</x:f>
        <x:v>0.5557072234929535</x:v>
      </x:c>
      <x:c r="O240" s="62" t="n">
        <x:v>0.09720000000000001</x:v>
      </x:c>
      <x:c r="P240" s="62" t="n">
        <x:v>0.028399999999999998</x:v>
      </x:c>
      <x:c r="Q240" s="52" t="str">
        <x:v>https://www.fsa.go.jp/policy/chusho/shihyou.html</x:v>
      </x:c>
    </x:row>
    <x:row r="241">
      <x:c r="A241" s="18" t="n">
        <x:v>240</x:v>
      </x:c>
      <x:c r="B241" s="18" t="str">
        <x:v>たちばな信用金庫</x:v>
      </x:c>
      <x:c r="C241" s="18" t="str">
        <x:v>たちばな</x:v>
      </x:c>
      <x:c r="D241" s="18" t="str">
        <x:v>長崎県</x:v>
      </x:c>
      <x:c r="E241" s="18" t="str">
        <x:v>九州</x:v>
      </x:c>
      <x:c r="F241" s="18" t="str">
        <x:v>2025-03-31</x:v>
      </x:c>
      <x:c r="G241" s="18" t="str">
        <x:v>Basic Data Found</x:v>
      </x:c>
      <x:c r="H241" s="18" t="str"/>
      <x:c r="I241" s="18" t="str">
        <x:v>https://www.tachibana-shinkin.jp/safe_overview/disclosure</x:v>
      </x:c>
      <x:c r="J241" s="18" t="str">
        <x:v>https://www.shinkin-central-bank.jp/cgi-bin/s/index.cgi</x:v>
      </x:c>
      <x:c r="K241" s="52" t="n">
        <x:v>1942</x:v>
      </x:c>
      <x:c r="L241" s="60" t="n">
        <x:v>148357</x:v>
      </x:c>
      <x:c r="M241" s="60" t="n">
        <x:v>94177</x:v>
      </x:c>
      <x:c r="N241" s="63" t="n">
        <x:f>IFERROR(M241/L241,"")</x:f>
        <x:v>0.634799840924257</x:v>
      </x:c>
      <x:c r="O241" s="62" t="n">
        <x:v>0.09029999999999999</x:v>
      </x:c>
      <x:c r="P241" s="62" t="n">
        <x:v>0.0127</x:v>
      </x:c>
      <x:c r="Q241" s="52" t="str">
        <x:v>https://www.fsa.go.jp/policy/chusho/shihyou.html</x:v>
      </x:c>
    </x:row>
    <x:row r="242">
      <x:c r="A242" s="18" t="n">
        <x:v>241</x:v>
      </x:c>
      <x:c r="B242" s="18" t="str">
        <x:v>熊本信用金庫</x:v>
      </x:c>
      <x:c r="C242" s="18" t="str">
        <x:v>熊本</x:v>
      </x:c>
      <x:c r="D242" s="18" t="str">
        <x:v>熊本県</x:v>
      </x:c>
      <x:c r="E242" s="18" t="str">
        <x:v>九州</x:v>
      </x:c>
      <x:c r="F242" s="18" t="str">
        <x:v>2025-03-31</x:v>
      </x:c>
      <x:c r="G242" s="18" t="str">
        <x:v>Basic Data Found</x:v>
      </x:c>
      <x:c r="H242" s="18" t="str"/>
      <x:c r="I242" s="18" t="str">
        <x:v>https://www.kumamoto-shinkin.jp/disclosure/</x:v>
      </x:c>
      <x:c r="J242" s="18" t="str">
        <x:v>https://www.shinkin-central-bank.jp/cgi-bin/s/index.cgi</x:v>
      </x:c>
      <x:c r="K242" s="52" t="n">
        <x:v>1951</x:v>
      </x:c>
      <x:c r="L242" s="60" t="n">
        <x:v>175521</x:v>
      </x:c>
      <x:c r="M242" s="60" t="n">
        <x:v>108620</x:v>
      </x:c>
      <x:c r="N242" s="63" t="n">
        <x:f>IFERROR(M242/L242,"")</x:f>
        <x:v>0.6188433292882333</x:v>
      </x:c>
      <x:c r="O242" s="62" t="n">
        <x:v>0.11380000000000001</x:v>
      </x:c>
      <x:c r="P242" s="62" t="n">
        <x:v>0.0181</x:v>
      </x:c>
      <x:c r="Q242" s="52" t="str">
        <x:v>https://www.fsa.go.jp/policy/chusho/shihyou.html</x:v>
      </x:c>
    </x:row>
    <x:row r="243">
      <x:c r="A243" s="18" t="n">
        <x:v>242</x:v>
      </x:c>
      <x:c r="B243" s="18" t="str">
        <x:v>熊本第一信用金庫</x:v>
      </x:c>
      <x:c r="C243" s="18" t="str">
        <x:v>熊本第一</x:v>
      </x:c>
      <x:c r="D243" s="18" t="str">
        <x:v>熊本県</x:v>
      </x:c>
      <x:c r="E243" s="18" t="str">
        <x:v>九州</x:v>
      </x:c>
      <x:c r="F243" s="18" t="str">
        <x:v>2025-03-31</x:v>
      </x:c>
      <x:c r="G243" s="18" t="str">
        <x:v>Basic Data Found</x:v>
      </x:c>
      <x:c r="H243" s="18" t="str"/>
      <x:c r="I243" s="18" t="str">
        <x:v>https://www.daiichishinkin.co.jp/about/disclosure.php</x:v>
      </x:c>
      <x:c r="J243" s="18" t="str">
        <x:v>https://www.shinkin-central-bank.jp/cgi-bin/s/index.cgi</x:v>
      </x:c>
      <x:c r="K243" s="52" t="n">
        <x:v>1952</x:v>
      </x:c>
      <x:c r="L243" s="60" t="n">
        <x:v>304342</x:v>
      </x:c>
      <x:c r="M243" s="60" t="n">
        <x:v>168520</x:v>
      </x:c>
      <x:c r="N243" s="63" t="n">
        <x:f>IFERROR(M243/L243,"")</x:f>
        <x:v>0.5537191711955629</x:v>
      </x:c>
      <x:c r="O243" s="62" t="n">
        <x:v>0.0956</x:v>
      </x:c>
      <x:c r="P243" s="62" t="n">
        <x:v>0.035699999999999996</x:v>
      </x:c>
      <x:c r="Q243" s="52" t="str">
        <x:v>https://www.fsa.go.jp/policy/chusho/shihyou.html</x:v>
      </x:c>
    </x:row>
    <x:row r="244">
      <x:c r="A244" s="18" t="n">
        <x:v>243</x:v>
      </x:c>
      <x:c r="B244" s="18" t="str">
        <x:v>熊本中央信用金庫</x:v>
      </x:c>
      <x:c r="C244" s="18" t="str">
        <x:v>熊本中央</x:v>
      </x:c>
      <x:c r="D244" s="18" t="str">
        <x:v>熊本県</x:v>
      </x:c>
      <x:c r="E244" s="18" t="str">
        <x:v>九州</x:v>
      </x:c>
      <x:c r="F244" s="18" t="str">
        <x:v>2025-03-31</x:v>
      </x:c>
      <x:c r="G244" s="18" t="str">
        <x:v>Basic Data Found</x:v>
      </x:c>
      <x:c r="H244" s="18" t="str"/>
      <x:c r="I244" s="18" t="str">
        <x:v>https://www.kumachu.jp/about/disclosure.html</x:v>
      </x:c>
      <x:c r="J244" s="18" t="str">
        <x:v>https://www.shinkin-central-bank.jp/cgi-bin/s/index.cgi</x:v>
      </x:c>
      <x:c r="K244" s="52" t="n">
        <x:v>1954</x:v>
      </x:c>
      <x:c r="L244" s="60" t="n">
        <x:v>206062</x:v>
      </x:c>
      <x:c r="M244" s="60" t="n">
        <x:v>107565</x:v>
      </x:c>
      <x:c r="N244" s="63" t="n">
        <x:f>IFERROR(M244/L244,"")</x:f>
        <x:v>0.5220030864497093</x:v>
      </x:c>
      <x:c r="O244" s="62" t="n">
        <x:v>0.102</x:v>
      </x:c>
      <x:c r="P244" s="62" t="n">
        <x:v>0.013000000000000001</x:v>
      </x:c>
      <x:c r="Q244" s="52" t="str">
        <x:v>https://www.fsa.go.jp/policy/chusho/shihyou.html</x:v>
      </x:c>
    </x:row>
    <x:row r="245">
      <x:c r="A245" s="18" t="n">
        <x:v>244</x:v>
      </x:c>
      <x:c r="B245" s="18" t="str">
        <x:v>天草信用金庫</x:v>
      </x:c>
      <x:c r="C245" s="18" t="str">
        <x:v>天草</x:v>
      </x:c>
      <x:c r="D245" s="18" t="str">
        <x:v>熊本県</x:v>
      </x:c>
      <x:c r="E245" s="18" t="str">
        <x:v>九州</x:v>
      </x:c>
      <x:c r="F245" s="18" t="str">
        <x:v>2025-03-31</x:v>
      </x:c>
      <x:c r="G245" s="18" t="str">
        <x:v>Basic Data Found</x:v>
      </x:c>
      <x:c r="H245" s="18" t="str"/>
      <x:c r="I245" s="18" t="str">
        <x:v>https://www.shinkin.co.jp/amakusa/company/disclosure.php</x:v>
      </x:c>
      <x:c r="J245" s="18" t="str">
        <x:v>https://www.shinkin-central-bank.jp/cgi-bin/s/index.cgi</x:v>
      </x:c>
      <x:c r="K245" s="52" t="n">
        <x:v>1955</x:v>
      </x:c>
      <x:c r="L245" s="60" t="n">
        <x:v>145479</x:v>
      </x:c>
      <x:c r="M245" s="60" t="n">
        <x:v>72299</x:v>
      </x:c>
      <x:c r="N245" s="63" t="n">
        <x:f>IFERROR(M245/L245,"")</x:f>
        <x:v>0.4969720715704672</x:v>
      </x:c>
      <x:c r="O245" s="62" t="n">
        <x:v>0.2057</x:v>
      </x:c>
      <x:c r="P245" s="62" t="n">
        <x:v>0.0898</x:v>
      </x:c>
      <x:c r="Q245" s="52" t="str">
        <x:v>https://www.fsa.go.jp/policy/chusho/shihyou.html</x:v>
      </x:c>
    </x:row>
    <x:row r="246">
      <x:c r="A246" s="18" t="n">
        <x:v>245</x:v>
      </x:c>
      <x:c r="B246" s="18" t="str">
        <x:v>大分信用金庫</x:v>
      </x:c>
      <x:c r="C246" s="18" t="str">
        <x:v>大分</x:v>
      </x:c>
      <x:c r="D246" s="18" t="str">
        <x:v>大分県</x:v>
      </x:c>
      <x:c r="E246" s="18" t="str">
        <x:v>九州</x:v>
      </x:c>
      <x:c r="F246" s="18" t="str">
        <x:v>2025-03-31</x:v>
      </x:c>
      <x:c r="G246" s="18" t="str">
        <x:v>Basic Data Found</x:v>
      </x:c>
      <x:c r="H246" s="18" t="str"/>
      <x:c r="I246" s="18" t="str">
        <x:v>https://www.shinkin.co.jp/oitashinkin/about/</x:v>
      </x:c>
      <x:c r="J246" s="18" t="str">
        <x:v>https://www.shinkin-central-bank.jp/cgi-bin/s/index.cgi</x:v>
      </x:c>
      <x:c r="K246" s="52" t="n">
        <x:v>1960</x:v>
      </x:c>
      <x:c r="L246" s="60" t="n">
        <x:v>245764</x:v>
      </x:c>
      <x:c r="M246" s="60" t="n">
        <x:v>109450</x:v>
      </x:c>
      <x:c r="N246" s="63" t="n">
        <x:f>IFERROR(M246/L246,"")</x:f>
        <x:v>0.4453459416350645</x:v>
      </x:c>
      <x:c r="O246" s="62" t="n">
        <x:v>0.2029</x:v>
      </x:c>
      <x:c r="P246" s="62" t="n">
        <x:v>0.0492</x:v>
      </x:c>
      <x:c r="Q246" s="52" t="str">
        <x:v>https://www.fsa.go.jp/policy/chusho/shihyou.html</x:v>
      </x:c>
    </x:row>
    <x:row r="247">
      <x:c r="A247" s="18" t="n">
        <x:v>246</x:v>
      </x:c>
      <x:c r="B247" s="18" t="str">
        <x:v>大分みらい信用金庫</x:v>
      </x:c>
      <x:c r="C247" s="18" t="str">
        <x:v>大分みらい</x:v>
      </x:c>
      <x:c r="D247" s="18" t="str">
        <x:v>大分県</x:v>
      </x:c>
      <x:c r="E247" s="18" t="str">
        <x:v>九州</x:v>
      </x:c>
      <x:c r="F247" s="18" t="str">
        <x:v>2025-03-31</x:v>
      </x:c>
      <x:c r="G247" s="18" t="str">
        <x:v>Basic Data Found</x:v>
      </x:c>
      <x:c r="H247" s="18" t="str"/>
      <x:c r="I247" s="18" t="str">
        <x:v>https://www.oitamirai.co.jp/disclosure/</x:v>
      </x:c>
      <x:c r="J247" s="18" t="str">
        <x:v>https://www.shinkin-central-bank.jp/cgi-bin/s/index.cgi</x:v>
      </x:c>
      <x:c r="K247" s="52" t="n">
        <x:v>1962</x:v>
      </x:c>
      <x:c r="L247" s="60" t="n">
        <x:v>438566</x:v>
      </x:c>
      <x:c r="M247" s="60" t="n">
        <x:v>215644</x:v>
      </x:c>
      <x:c r="N247" s="63" t="n">
        <x:f>IFERROR(M247/L247,"")</x:f>
        <x:v>0.49170250315801955</x:v>
      </x:c>
      <x:c r="O247" s="62" t="n">
        <x:v>0.1334</x:v>
      </x:c>
      <x:c r="P247" s="62" t="n">
        <x:v>0.0632</x:v>
      </x:c>
      <x:c r="Q247" s="52" t="str">
        <x:v>https://www.fsa.go.jp/policy/chusho/shihyou.html</x:v>
      </x:c>
    </x:row>
    <x:row r="248">
      <x:c r="A248" s="18" t="n">
        <x:v>247</x:v>
      </x:c>
      <x:c r="B248" s="18" t="str">
        <x:v>日田信用金庫</x:v>
      </x:c>
      <x:c r="C248" s="18" t="str">
        <x:v>日田</x:v>
      </x:c>
      <x:c r="D248" s="18" t="str">
        <x:v>大分県</x:v>
      </x:c>
      <x:c r="E248" s="18" t="str">
        <x:v>九州</x:v>
      </x:c>
      <x:c r="F248" s="18" t="str">
        <x:v>2025-03-31</x:v>
      </x:c>
      <x:c r="G248" s="18" t="str">
        <x:v>Basic Data Found</x:v>
      </x:c>
      <x:c r="H248" s="18" t="str"/>
      <x:c r="I248" s="18" t="str">
        <x:v>https://www.shinkin.co.jp/hitashin/gaiyou/gaiyou.html</x:v>
      </x:c>
      <x:c r="J248" s="18" t="str">
        <x:v>https://www.shinkin-central-bank.jp/cgi-bin/s/index.cgi</x:v>
      </x:c>
      <x:c r="K248" s="52" t="n">
        <x:v>1968</x:v>
      </x:c>
      <x:c r="L248" s="60" t="n">
        <x:v>43983</x:v>
      </x:c>
      <x:c r="M248" s="60" t="n">
        <x:v>23235</x:v>
      </x:c>
      <x:c r="N248" s="63" t="n">
        <x:f>IFERROR(M248/L248,"")</x:f>
        <x:v>0.528272287019985</x:v>
      </x:c>
      <x:c r="O248" s="62" t="n">
        <x:v>0.09759999999999999</x:v>
      </x:c>
      <x:c r="P248" s="62" t="n">
        <x:v>0.0626</x:v>
      </x:c>
      <x:c r="Q248" s="52" t="str">
        <x:v>https://www.fsa.go.jp/policy/chusho/shihyou.html</x:v>
      </x:c>
    </x:row>
    <x:row r="249">
      <x:c r="A249" s="18" t="n">
        <x:v>248</x:v>
      </x:c>
      <x:c r="B249" s="18" t="str">
        <x:v>宮崎第一信用金庫</x:v>
      </x:c>
      <x:c r="C249" s="18" t="str">
        <x:v>宮崎第一</x:v>
      </x:c>
      <x:c r="D249" s="18" t="str">
        <x:v>宮崎県</x:v>
      </x:c>
      <x:c r="E249" s="18" t="str">
        <x:v>九州</x:v>
      </x:c>
      <x:c r="F249" s="18" t="str">
        <x:v>2025-03-31</x:v>
      </x:c>
      <x:c r="G249" s="18" t="str">
        <x:v>Basic Data Found</x:v>
      </x:c>
      <x:c r="H249" s="18" t="str"/>
      <x:c r="I249" s="18" t="str">
        <x:v>https://www.miyasin.co.jp/company/disclosure/</x:v>
      </x:c>
      <x:c r="J249" s="18" t="str">
        <x:v>https://www.shinkin-central-bank.jp/cgi-bin/s/index.cgi</x:v>
      </x:c>
      <x:c r="K249" s="52" t="n">
        <x:v>1980</x:v>
      </x:c>
      <x:c r="L249" s="60" t="n">
        <x:v>237813</x:v>
      </x:c>
      <x:c r="M249" s="60" t="n">
        <x:v>131322</x:v>
      </x:c>
      <x:c r="N249" s="63" t="n">
        <x:f>IFERROR(M249/L249,"")</x:f>
        <x:v>0.5522069861613957</x:v>
      </x:c>
      <x:c r="O249" s="62" t="n">
        <x:v>0.11699999999999999</x:v>
      </x:c>
      <x:c r="P249" s="62" t="n">
        <x:v>0.0159</x:v>
      </x:c>
      <x:c r="Q249" s="52" t="str">
        <x:v>https://www.fsa.go.jp/policy/chusho/shihyou.html</x:v>
      </x:c>
    </x:row>
    <x:row r="250">
      <x:c r="A250" s="18" t="n">
        <x:v>249</x:v>
      </x:c>
      <x:c r="B250" s="18" t="str">
        <x:v>延岡信用金庫</x:v>
      </x:c>
      <x:c r="C250" s="18" t="str">
        <x:v>延岡</x:v>
      </x:c>
      <x:c r="D250" s="18" t="str">
        <x:v>宮崎県</x:v>
      </x:c>
      <x:c r="E250" s="18" t="str">
        <x:v>九州</x:v>
      </x:c>
      <x:c r="F250" s="18" t="str">
        <x:v>2025-03-31</x:v>
      </x:c>
      <x:c r="G250" s="18" t="str">
        <x:v>Basic Data Found</x:v>
      </x:c>
      <x:c r="H250" s="18" t="str"/>
      <x:c r="I250" s="18" t="str">
        <x:v>https://www.nobeshin.jp/disclosure.html</x:v>
      </x:c>
      <x:c r="J250" s="18" t="str">
        <x:v>https://www.shinkin-central-bank.jp/cgi-bin/s/index.cgi</x:v>
      </x:c>
      <x:c r="K250" s="52" t="n">
        <x:v>1982</x:v>
      </x:c>
      <x:c r="L250" s="60" t="n">
        <x:v>74199</x:v>
      </x:c>
      <x:c r="M250" s="60" t="n">
        <x:v>39758</x:v>
      </x:c>
      <x:c r="N250" s="63" t="n">
        <x:f>IFERROR(M250/L250,"")</x:f>
        <x:v>0.5358293238453349</x:v>
      </x:c>
      <x:c r="O250" s="62" t="n">
        <x:v>0.11460000000000001</x:v>
      </x:c>
      <x:c r="P250" s="62" t="n">
        <x:v>0.0169</x:v>
      </x:c>
      <x:c r="Q250" s="52" t="str">
        <x:v>https://www.fsa.go.jp/policy/chusho/shihyou.html</x:v>
      </x:c>
    </x:row>
    <x:row r="251">
      <x:c r="A251" s="18" t="n">
        <x:v>250</x:v>
      </x:c>
      <x:c r="B251" s="18" t="str">
        <x:v>高鍋信用金庫</x:v>
      </x:c>
      <x:c r="C251" s="18" t="str">
        <x:v>高鍋</x:v>
      </x:c>
      <x:c r="D251" s="18" t="str">
        <x:v>宮崎県</x:v>
      </x:c>
      <x:c r="E251" s="18" t="str">
        <x:v>九州</x:v>
      </x:c>
      <x:c r="F251" s="18" t="str">
        <x:v>2025-03-31</x:v>
      </x:c>
      <x:c r="G251" s="18" t="str">
        <x:v>Basic Data Found</x:v>
      </x:c>
      <x:c r="H251" s="18" t="str"/>
      <x:c r="I251" s="18" t="str">
        <x:v>http://www.takanabe-shinkin.jp/disclosure/index.html</x:v>
      </x:c>
      <x:c r="J251" s="18" t="str">
        <x:v>https://www.shinkin-central-bank.jp/cgi-bin/s/index.cgi</x:v>
      </x:c>
      <x:c r="K251" s="52" t="n">
        <x:v>1985</x:v>
      </x:c>
      <x:c r="L251" s="60" t="n">
        <x:v>283431</x:v>
      </x:c>
      <x:c r="M251" s="60" t="n">
        <x:v>111950</x:v>
      </x:c>
      <x:c r="N251" s="63" t="n">
        <x:f>IFERROR(M251/L251,"")</x:f>
        <x:v>0.39498149461420945</x:v>
      </x:c>
      <x:c r="O251" s="62" t="n">
        <x:v>0.1334</x:v>
      </x:c>
      <x:c r="P251" s="62" t="n">
        <x:v>0.0189</x:v>
      </x:c>
      <x:c r="Q251" s="52" t="str">
        <x:v>https://www.fsa.go.jp/policy/chusho/shihyou.html</x:v>
      </x:c>
    </x:row>
    <x:row r="252">
      <x:c r="A252" s="18" t="n">
        <x:v>251</x:v>
      </x:c>
      <x:c r="B252" s="18" t="str">
        <x:v>鹿児島信用金庫</x:v>
      </x:c>
      <x:c r="C252" s="18" t="str">
        <x:v>鹿児島</x:v>
      </x:c>
      <x:c r="D252" s="18" t="str">
        <x:v>鹿児島県</x:v>
      </x:c>
      <x:c r="E252" s="18" t="str">
        <x:v>九州</x:v>
      </x:c>
      <x:c r="F252" s="18" t="str">
        <x:v>2025-03-31</x:v>
      </x:c>
      <x:c r="G252" s="18" t="str">
        <x:v>Basic Data Found</x:v>
      </x:c>
      <x:c r="H252" s="18" t="str"/>
      <x:c r="I252" s="18" t="str">
        <x:v>https://www.shinkin.co.jp/kashin/aboutus/disclosure/</x:v>
      </x:c>
      <x:c r="J252" s="18" t="str">
        <x:v>https://www.shinkin-central-bank.jp/cgi-bin/s/index.cgi</x:v>
      </x:c>
      <x:c r="K252" s="52" t="n">
        <x:v>1990</x:v>
      </x:c>
      <x:c r="L252" s="60" t="n">
        <x:v>322029</x:v>
      </x:c>
      <x:c r="M252" s="60" t="n">
        <x:v>219685</x:v>
      </x:c>
      <x:c r="N252" s="63" t="n">
        <x:f>IFERROR(M252/L252,"")</x:f>
        <x:v>0.6821901133127761</x:v>
      </x:c>
      <x:c r="O252" s="62" t="n">
        <x:v>0.08539999999999999</x:v>
      </x:c>
      <x:c r="P252" s="62" t="n">
        <x:v>0.0226</x:v>
      </x:c>
      <x:c r="Q252" s="52" t="str">
        <x:v>https://www.fsa.go.jp/policy/chusho/shihyou.html</x:v>
      </x:c>
    </x:row>
    <x:row r="253">
      <x:c r="A253" s="18" t="n">
        <x:v>252</x:v>
      </x:c>
      <x:c r="B253" s="18" t="str">
        <x:v>鹿児島相互信用金庫</x:v>
      </x:c>
      <x:c r="C253" s="18" t="str">
        <x:v>鹿児島相互</x:v>
      </x:c>
      <x:c r="D253" s="18" t="str">
        <x:v>鹿児島県</x:v>
      </x:c>
      <x:c r="E253" s="18" t="str">
        <x:v>九州</x:v>
      </x:c>
      <x:c r="F253" s="18" t="str">
        <x:v>2025-03-31</x:v>
      </x:c>
      <x:c r="G253" s="18" t="str">
        <x:v>Basic Data Found</x:v>
      </x:c>
      <x:c r="H253" s="18" t="str"/>
      <x:c r="I253" s="18" t="str">
        <x:v>https://www.shinkin.co.jp/kasosin/info/disclosure/index.html</x:v>
      </x:c>
      <x:c r="J253" s="18" t="str">
        <x:v>https://www.shinkin-central-bank.jp/cgi-bin/s/index.cgi</x:v>
      </x:c>
      <x:c r="K253" s="52" t="n">
        <x:v>1991</x:v>
      </x:c>
      <x:c r="L253" s="60" t="n">
        <x:v>578935</x:v>
      </x:c>
      <x:c r="M253" s="60" t="n">
        <x:v>371858</x:v>
      </x:c>
      <x:c r="N253" s="63" t="n">
        <x:f>IFERROR(M253/L253,"")</x:f>
        <x:v>0.6423139039788577</x:v>
      </x:c>
      <x:c r="O253" s="62" t="n">
        <x:v>0.08220000000000001</x:v>
      </x:c>
      <x:c r="P253" s="62" t="n">
        <x:v>0.0791</x:v>
      </x:c>
      <x:c r="Q253" s="52" t="str">
        <x:v>https://www.fsa.go.jp/policy/chusho/shihyou.html</x:v>
      </x:c>
    </x:row>
    <x:row r="254">
      <x:c r="A254" s="18" t="n">
        <x:v>253</x:v>
      </x:c>
      <x:c r="B254" s="18" t="str">
        <x:v>奄美大島信用金庫</x:v>
      </x:c>
      <x:c r="C254" s="18" t="str">
        <x:v>奄美大島</x:v>
      </x:c>
      <x:c r="D254" s="18" t="str">
        <x:v>鹿児島県</x:v>
      </x:c>
      <x:c r="E254" s="18" t="str">
        <x:v>九州</x:v>
      </x:c>
      <x:c r="F254" s="18" t="str">
        <x:v>2025-03-31</x:v>
      </x:c>
      <x:c r="G254" s="18" t="str">
        <x:v>Basic Data Found</x:v>
      </x:c>
      <x:c r="H254" s="18" t="str"/>
      <x:c r="I254" s="18" t="str">
        <x:v>https://www.amamishinkin.co.jp/</x:v>
      </x:c>
      <x:c r="J254" s="18" t="str">
        <x:v>https://www.shinkin-central-bank.jp/cgi-bin/s/index.cgi</x:v>
      </x:c>
      <x:c r="K254" s="52" t="n">
        <x:v>1993</x:v>
      </x:c>
      <x:c r="L254" s="60" t="n">
        <x:v>88738</x:v>
      </x:c>
      <x:c r="M254" s="60" t="n">
        <x:v>46309</x:v>
      </x:c>
      <x:c r="N254" s="63" t="n">
        <x:f>IFERROR(M254/L254,"")</x:f>
        <x:v>0.5218621109333093</x:v>
      </x:c>
      <x:c r="O254" s="62" t="n">
        <x:v>0.1523</x:v>
      </x:c>
      <x:c r="P254" s="62" t="n">
        <x:v>0.0873</x:v>
      </x:c>
      <x:c r="Q254" s="52" t="str">
        <x:v>https://www.fsa.go.jp/policy/chusho/shihyou.html</x:v>
      </x:c>
    </x:row>
    <x:row r="255">
      <x:c r="A255" s="18" t="n">
        <x:v>254</x:v>
      </x:c>
      <x:c r="B255" s="18" t="str">
        <x:v>コザ信用金庫</x:v>
      </x:c>
      <x:c r="C255" s="18" t="str">
        <x:v>コザ</x:v>
      </x:c>
      <x:c r="D255" s="18" t="str">
        <x:v>沖縄県</x:v>
      </x:c>
      <x:c r="E255" s="18" t="str">
        <x:v>沖縄</x:v>
      </x:c>
      <x:c r="F255" s="18" t="str">
        <x:v>2025-03-31</x:v>
      </x:c>
      <x:c r="G255" s="18" t="str">
        <x:v>Basic Data Found</x:v>
      </x:c>
      <x:c r="H255" s="18" t="str"/>
      <x:c r="I255" s="18" t="str">
        <x:v>https://www.shinkin.co.jp/kozashinkin/about/disclosure.php</x:v>
      </x:c>
      <x:c r="J255" s="18" t="str">
        <x:v>https://www.shinkin-central-bank.jp/cgi-bin/s/index.cgi</x:v>
      </x:c>
      <x:c r="K255" s="52" t="n">
        <x:v>1996</x:v>
      </x:c>
      <x:c r="L255" s="60" t="n">
        <x:v>252714</x:v>
      </x:c>
      <x:c r="M255" s="60" t="n">
        <x:v>173231</x:v>
      </x:c>
      <x:c r="N255" s="63" t="n">
        <x:f>IFERROR(M255/L255,"")</x:f>
        <x:v>0.6854824030326773</x:v>
      </x:c>
      <x:c r="O255" s="62" t="n">
        <x:v>0.1165</x:v>
      </x:c>
      <x:c r="P255" s="62" t="n">
        <x:v>0.013000000000000001</x:v>
      </x:c>
      <x:c r="Q255" s="52" t="str">
        <x:v>https://www.fsa.go.jp/policy/chusho/shihyou.html</x:v>
      </x:c>
    </x:row>
  </x:sheetData>
  <x:mergeCells>
    <x:mergeCell ref="L1:N1"/>
    <x:mergeCell ref="S1:T1"/>
  </x:mergeCells>
  <x:conditionalFormatting sqref="G2:G255">
    <x:cfRule type="expression" dxfId="0" priority="1">
      <x:formula>G2="Verified"</x:formula>
    </x:cfRule>
    <x:cfRule type="expression" dxfId="1" priority="2">
      <x:formula>G2="IRRBB Found"</x:formula>
    </x:cfRule>
    <x:cfRule type="expression" dxfId="2" priority="3">
      <x:formula>G2="Basic Data Found"</x:formula>
    </x:cfRule>
  </x:conditionalFormatting>
  <x:dataValidations count="1">
    <x:dataValidation type="list" sqref="G2:G255">
      <x:formula1>"Not Started,Basic Data Found,IRRBB Found,Verified"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0" hidden="0" customWidth="1"/>
    <x:col min="3" max="3" width="14" hidden="0" customWidth="1"/>
    <x:col min="4" max="4" width="16" hidden="0" customWidth="1"/>
    <x:col min="5" max="5" width="16" hidden="0" customWidth="1"/>
    <x:col min="6" max="6" width="14" hidden="0" customWidth="1"/>
    <x:col min="7" max="7" width="19" hidden="0" customWidth="1"/>
    <x:col min="8" max="8" width="20" hidden="0" customWidth="1"/>
    <x:col min="9" max="9" width="16" hidden="0" customWidth="1"/>
    <x:col min="10" max="10" width="18" hidden="0" customWidth="1"/>
    <x:col min="11" max="11" width="17" hidden="0" customWidth="1"/>
    <x:col min="12" max="12" width="18" hidden="0" customWidth="1"/>
    <x:col min="13" max="13" width="16" hidden="0" customWidth="1"/>
    <x:col min="14" max="14" width="18" hidden="0" customWidth="1"/>
    <x:col min="15" max="15" width="12" hidden="0" customWidth="1"/>
    <x:col min="16" max="16" width="52" hidden="0" customWidth="1"/>
    <x:col min="17" max="17" width="52" hidden="0" customWidth="1"/>
  </x:cols>
  <x:sheetData>
    <x:row r="1">
      <x:c r="A1" s="71" t="str">
        <x:v>Institution</x:v>
      </x:c>
      <x:c r="B1" s="71" t="str">
        <x:v>Prefecture</x:v>
      </x:c>
      <x:c r="C1" s="71" t="str">
        <x:v>Reference Date</x:v>
      </x:c>
      <x:c r="D1" s="71" t="str">
        <x:v>Deposits (JPY mm)</x:v>
      </x:c>
      <x:c r="E1" s="71" t="str">
        <x:v>Loans (JPY mm)</x:v>
      </x:c>
      <x:c r="F1" s="71" t="str">
        <x:v>Loan / Deposit</x:v>
      </x:c>
      <x:c r="G1" s="71" t="str">
        <x:v>Securities EOP (JPY mm)</x:v>
      </x:c>
      <x:c r="H1" s="71" t="str">
        <x:v>Reported Securities / Deposit</x:v>
      </x:c>
      <x:c r="I1" s="71" t="str">
        <x:v>JGB EOP (JPY mm)</x:v>
      </x:c>
      <x:c r="J1" s="71" t="str">
        <x:v>Bonds 10Y+ (JPY mm)</x:v>
      </x:c>
      <x:c r="K1" s="71" t="str">
        <x:v>ΔEVE Max (JPY mm)</x:v>
      </x:c>
      <x:c r="L1" s="71" t="str">
        <x:v>IRRBB Capital (JPY mm)</x:v>
      </x:c>
      <x:c r="M1" s="71" t="str">
        <x:v>ΔEVE / Capital</x:v>
      </x:c>
      <x:c r="N1" s="71" t="str">
        <x:v>Capital Adequacy Ratio</x:v>
      </x:c>
      <x:c r="O1" s="71" t="str">
        <x:v>NPL Ratio</x:v>
      </x:c>
      <x:c r="P1" s="71" t="str">
        <x:v>Primary Source</x:v>
      </x:c>
      <x:c r="Q1" s="71" t="str">
        <x:v>Notes</x:v>
      </x:c>
    </x:row>
    <x:row r="2">
      <x:c r="A2" s="12" t="str">
        <x:v>高知信用金庫</x:v>
      </x:c>
      <x:c r="B2" s="12" t="str">
        <x:v>高知県</x:v>
      </x:c>
      <x:c r="C2" s="12" t="str">
        <x:v>2025-03-31</x:v>
      </x:c>
      <x:c r="D2" s="19" t="n">
        <x:v>872968</x:v>
      </x:c>
      <x:c r="E2" s="19" t="n">
        <x:v>81348</x:v>
      </x:c>
      <x:c r="F2" s="24" t="n">
        <x:f>IFERROR(E2/D2,"")</x:f>
        <x:v>0.09318554632014003</x:v>
      </x:c>
      <x:c r="G2" s="19" t="n">
        <x:v>871882</x:v>
      </x:c>
      <x:c r="H2" s="20" t="n">
        <x:v>0.9987</x:v>
      </x:c>
      <x:c r="I2" s="19" t="n">
        <x:v>169225</x:v>
      </x:c>
      <x:c r="J2" s="19" t="n">
        <x:v>259871</x:v>
      </x:c>
      <x:c r="K2" s="19" t="n">
        <x:v>50128</x:v>
      </x:c>
      <x:c r="L2" s="19" t="n">
        <x:v>257964</x:v>
      </x:c>
      <x:c r="M2" s="24" t="n">
        <x:f>IFERROR(K2/L2,"")</x:f>
        <x:v>0.19432168829759192</x:v>
      </x:c>
      <x:c r="N2" s="20" t="n">
        <x:v>0.5602</x:v>
      </x:c>
      <x:c r="O2" s="20" t="n">
        <x:v>0.004699999999999999</x:v>
      </x:c>
      <x:c r="P2" s="18" t="str">
        <x:v>https://www.combank.co.jp/report/reportall.pdf</x:v>
      </x:c>
      <x:c r="Q2" s="18" t="str">
        <x:v>Nationwide lowest L/D. Securities at year-end were almost equal to deposits; long-duration bond exposure is material, but disclosed ΔEVE/Capital is below 20%.</x:v>
      </x:c>
    </x:row>
    <x:row r="3">
      <x:c r="A3" s="12" t="str">
        <x:v>稚内信用金庫</x:v>
      </x:c>
      <x:c r="B3" s="12" t="str">
        <x:v>北海道</x:v>
      </x:c>
      <x:c r="C3" s="12" t="str">
        <x:v>2025-03-31</x:v>
      </x:c>
      <x:c r="D3" s="19" t="n">
        <x:v>464435</x:v>
      </x:c>
      <x:c r="E3" s="19" t="n">
        <x:v>80227</x:v>
      </x:c>
      <x:c r="F3" s="24" t="n">
        <x:f>IFERROR(E3/D3,"")</x:f>
        <x:v>0.17274107248592377</x:v>
      </x:c>
      <x:c r="G3" s="19"/>
      <x:c r="H3" s="20" t="n">
        <x:v>0.5512</x:v>
      </x:c>
      <x:c r="I3" s="19" t="n">
        <x:v>245820</x:v>
      </x:c>
      <x:c r="J3" s="19" t="n">
        <x:v>217318</x:v>
      </x:c>
      <x:c r="K3" s="19" t="n">
        <x:v>39677</x:v>
      </x:c>
      <x:c r="L3" s="19" t="n">
        <x:v>53186</x:v>
      </x:c>
      <x:c r="M3" s="24" t="n">
        <x:f>IFERROR(K3/L3,"")</x:f>
        <x:v>0.7460045876734479</x:v>
      </x:c>
      <x:c r="N3" s="20" t="n">
        <x:v>0.6186</x:v>
      </x:c>
      <x:c r="O3" s="20" t="n">
        <x:v>0.048600000000000004</x:v>
      </x:c>
      <x:c r="P3" s="18" t="str">
        <x:v>https://www.shinkin.co.jp/wakashin/assets/pdf/07-disclo/year-2025_2024-r06-81-2/81-2_all.pdf</x:v>
      </x:c>
      <x:c r="Q3" s="18" t="str">
        <x:v>Very low L/D and high JGB concentration. Disclosed ΔEVE/Capital is exceptionally high despite very high regulatory capital adequacy.</x:v>
      </x:c>
    </x:row>
    <x:row r="4">
      <x:c r="A4" s="12" t="str">
        <x:v>津信用金庫</x:v>
      </x:c>
      <x:c r="B4" s="12" t="str">
        <x:v>三重県</x:v>
      </x:c>
      <x:c r="C4" s="12" t="str">
        <x:v>2025-03-31</x:v>
      </x:c>
      <x:c r="D4" s="19" t="n">
        <x:v>85664</x:v>
      </x:c>
      <x:c r="E4" s="19" t="n">
        <x:v>16446</x:v>
      </x:c>
      <x:c r="F4" s="24" t="n">
        <x:f>IFERROR(E4/D4,"")</x:f>
        <x:v>0.19198262980948824</x:v>
      </x:c>
      <x:c r="G4" s="19" t="n">
        <x:v>40895</x:v>
      </x:c>
      <x:c r="H4" s="20" t="n">
        <x:v>0.4773</x:v>
      </x:c>
      <x:c r="I4" s="19" t="n">
        <x:v>2261</x:v>
      </x:c>
      <x:c r="J4" s="19" t="n">
        <x:v>12844</x:v>
      </x:c>
      <x:c r="K4" s="19" t="n">
        <x:v>3842</x:v>
      </x:c>
      <x:c r="L4" s="19" t="n">
        <x:v>9461</x:v>
      </x:c>
      <x:c r="M4" s="24" t="n">
        <x:f>IFERROR(K4/L4,"")</x:f>
        <x:v>0.40608815135820736</x:v>
      </x:c>
      <x:c r="N4" s="20" t="n">
        <x:v>0.2284</x:v>
      </x:c>
      <x:c r="O4" s="20" t="n">
        <x:v>0.0455</x:v>
      </x:c>
      <x:c r="P4" s="18" t="str">
        <x:v>https://www.tsushinkin.co.jp/pdf/disc2025/disc2025_03.pdf</x:v>
      </x:c>
      <x:c r="Q4" s="18" t="str">
        <x:v>Low L/D. Securities are smaller than Wakkanai/Kochi in absolute terms, yet ΔEVE/Capital is above 40%, indicating capital absorption matters.</x:v>
      </x:c>
    </x:row>
    <x:row r="5">
      <x:c r="A5" s="12"/>
      <x:c r="B5" s="12"/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</x:row>
    <x:row r="6">
      <x:c r="A6" s="78" t="str">
        <x:v>Deep Money — First 3-Bank Structural Comparison</x:v>
      </x:c>
      <x:c r="B6" s="78"/>
      <x:c r="C6" s="78"/>
      <x:c r="D6" s="78"/>
      <x:c r="E6" s="78"/>
      <x:c r="F6" s="78"/>
      <x:c r="G6" s="78"/>
      <x:c r="H6" s="78"/>
      <x:c r="I6" s="78"/>
      <x:c r="J6" s="78"/>
      <x:c r="K6" s="78"/>
      <x:c r="L6" s="78"/>
      <x:c r="M6" s="78"/>
      <x:c r="N6" s="78"/>
      <x:c r="O6" s="78"/>
      <x:c r="P6" s="78"/>
      <x:c r="Q6" s="78"/>
    </x:row>
    <x:row r="7">
      <x:c r="A7" s="75" t="str">
        <x:v>Screening logic: low Loan/Deposit is only the entry signal. The key discriminator is how excess deposits are deployed and how disclosed interest-rate risk compares with capital.</x:v>
      </x:c>
      <x:c r="B7" s="75"/>
      <x:c r="C7" s="75"/>
      <x:c r="D7" s="75"/>
      <x:c r="E7" s="75"/>
      <x:c r="F7" s="75"/>
      <x:c r="G7" s="75"/>
      <x:c r="H7" s="75"/>
      <x:c r="I7" s="75"/>
      <x:c r="J7" s="75"/>
      <x:c r="K7" s="75"/>
      <x:c r="L7" s="75"/>
      <x:c r="M7" s="75"/>
      <x:c r="N7" s="75"/>
      <x:c r="O7" s="75"/>
      <x:c r="P7" s="75"/>
      <x:c r="Q7" s="75"/>
    </x:row>
    <x:row r="8">
      <x:c r="A8" s="12"/>
      <x:c r="B8" s="12"/>
      <x:c r="C8" s="12"/>
      <x:c r="D8" s="12"/>
      <x:c r="E8" s="12"/>
      <x:c r="F8" s="12"/>
      <x:c r="G8" s="12"/>
      <x:c r="H8" s="12"/>
      <x:c r="I8" s="12"/>
      <x:c r="J8" s="12"/>
      <x:c r="K8" s="12"/>
      <x:c r="L8" s="12"/>
      <x:c r="M8" s="12"/>
      <x:c r="N8" s="12"/>
      <x:c r="O8" s="12"/>
      <x:c r="P8" s="12"/>
      <x:c r="Q8" s="12"/>
    </x:row>
    <x:row r="9">
      <x:c r="A9" s="70" t="str">
        <x:v>Key Finding</x:v>
      </x:c>
      <x:c r="B9" s="70" t="str">
        <x:v>Kochi</x:v>
      </x:c>
      <x:c r="C9" s="70" t="str">
        <x:v>Wakkanai</x:v>
      </x:c>
      <x:c r="D9" s="70" t="str">
        <x:v>Tsu</x:v>
      </x:c>
      <x:c r="E9" s="12"/>
      <x:c r="F9" s="12"/>
      <x:c r="G9" s="12"/>
      <x:c r="H9" s="12"/>
      <x:c r="I9" s="12"/>
      <x:c r="J9" s="12"/>
      <x:c r="K9" s="12"/>
      <x:c r="L9" s="12"/>
      <x:c r="M9" s="12"/>
      <x:c r="N9" s="12"/>
      <x:c r="O9" s="12"/>
      <x:c r="P9" s="12"/>
      <x:c r="Q9" s="12"/>
    </x:row>
    <x:row r="10">
      <x:c r="A10" s="36" t="str">
        <x:v>Loan / Deposit</x:v>
      </x:c>
      <x:c r="B10" s="16" t="n">
        <x:f>F2</x:f>
        <x:v>0.09318554632014003</x:v>
      </x:c>
      <x:c r="C10" s="16" t="n">
        <x:f>F3</x:f>
        <x:v>0.17274107248592377</x:v>
      </x:c>
      <x:c r="D10" s="16" t="n">
        <x:f>F4</x:f>
        <x:v>0.19198262980948824</x:v>
      </x:c>
      <x:c r="E10" s="12"/>
      <x:c r="F10" s="12"/>
      <x:c r="G10" s="12"/>
      <x:c r="H10" s="12"/>
      <x:c r="I10" s="12"/>
      <x:c r="J10" s="12"/>
      <x:c r="K10" s="12"/>
      <x:c r="L10" s="12"/>
      <x:c r="M10" s="12"/>
      <x:c r="N10" s="12"/>
      <x:c r="O10" s="12"/>
      <x:c r="P10" s="12"/>
      <x:c r="Q10" s="12"/>
    </x:row>
    <x:row r="11">
      <x:c r="A11" s="36" t="str">
        <x:v>Securities / Deposit</x:v>
      </x:c>
      <x:c r="B11" s="16" t="n">
        <x:v>0.9987</x:v>
      </x:c>
      <x:c r="C11" s="16" t="n">
        <x:v>0.5512</x:v>
      </x:c>
      <x:c r="D11" s="16" t="n">
        <x:v>0.4773</x:v>
      </x:c>
      <x:c r="E11" s="12"/>
      <x:c r="F11" s="12"/>
      <x:c r="G11" s="12"/>
      <x:c r="H11" s="12"/>
      <x:c r="I11" s="12"/>
      <x:c r="J11" s="12"/>
      <x:c r="K11" s="12"/>
      <x:c r="L11" s="12"/>
      <x:c r="M11" s="12"/>
      <x:c r="N11" s="12"/>
      <x:c r="O11" s="12"/>
      <x:c r="P11" s="12"/>
      <x:c r="Q11" s="12"/>
    </x:row>
    <x:row r="12">
      <x:c r="A12" s="36" t="str">
        <x:v>ΔEVE / Capital</x:v>
      </x:c>
      <x:c r="B12" s="16" t="n">
        <x:f>M2</x:f>
        <x:v>0.19432168829759192</x:v>
      </x:c>
      <x:c r="C12" s="16" t="n">
        <x:f>M3</x:f>
        <x:v>0.7460045876734479</x:v>
      </x:c>
      <x:c r="D12" s="16" t="n">
        <x:f>M4</x:f>
        <x:v>0.40608815135820736</x:v>
      </x:c>
      <x:c r="E12" s="12"/>
      <x:c r="F12" s="12"/>
      <x:c r="G12" s="12"/>
      <x:c r="H12" s="12"/>
      <x:c r="I12" s="12"/>
      <x:c r="J12" s="12"/>
      <x:c r="K12" s="12"/>
      <x:c r="L12" s="12"/>
      <x:c r="M12" s="12"/>
      <x:c r="N12" s="12"/>
      <x:c r="O12" s="12"/>
      <x:c r="P12" s="12"/>
      <x:c r="Q12" s="12"/>
    </x:row>
    <x:row r="13">
      <x:c r="A13" s="36" t="str">
        <x:v>Interpretation</x:v>
      </x:c>
      <x:c r="B13" s="12" t="str">
        <x:v>Securities-heavy but strong capital absorption</x:v>
      </x:c>
      <x:c r="C13" s="12" t="str">
        <x:v>JGB-heavy and highest EVE sensitivity</x:v>
      </x:c>
      <x:c r="D13" s="12" t="str">
        <x:v>Smaller B/S but EVE sensitivity still high</x:v>
      </x:c>
      <x:c r="E13" s="12"/>
      <x:c r="F13" s="12"/>
      <x:c r="G13" s="12"/>
      <x:c r="H13" s="12"/>
      <x:c r="I13" s="12"/>
      <x:c r="J13" s="12"/>
      <x:c r="K13" s="12"/>
      <x:c r="L13" s="12"/>
      <x:c r="M13" s="12"/>
      <x:c r="N13" s="12"/>
      <x:c r="O13" s="12"/>
      <x:c r="P13" s="12"/>
      <x:c r="Q13" s="12"/>
    </x:row>
    <x:row r="15">
      <x:c r="A15" s="68" t="str">
        <x:v>Methodology Notes</x:v>
      </x:c>
      <x:c r="B15" s="68"/>
      <x:c r="C15" s="68"/>
      <x:c r="D15" s="68"/>
      <x:c r="E15" s="68"/>
      <x:c r="F15" s="68"/>
      <x:c r="G15" s="68"/>
      <x:c r="H15" s="68"/>
      <x:c r="I15" s="68"/>
      <x:c r="J15" s="68"/>
      <x:c r="K15" s="68"/>
      <x:c r="L15" s="68"/>
      <x:c r="M15" s="68"/>
      <x:c r="N15" s="68"/>
      <x:c r="O15" s="68"/>
      <x:c r="P15" s="68"/>
      <x:c r="Q15" s="68"/>
    </x:row>
    <x:row r="16">
      <x:c r="A16" s="12" t="str">
        <x:v>1.</x:v>
      </x:c>
      <x:c r="B16" s="12" t="str">
        <x:v>Loan/Deposit is calculated consistently from FSA deposits and loans; it is a screening signal, not a solvency judgment.</x:v>
      </x:c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  <x:c r="N16" s="12"/>
      <x:c r="O16" s="12"/>
      <x:c r="P16" s="12"/>
      <x:c r="Q16" s="12"/>
    </x:row>
    <x:row r="17">
      <x:c r="A17" s="12" t="str">
        <x:v>2.</x:v>
      </x:c>
      <x:c r="B17" s="12" t="str">
        <x:v>Securities/Deposit is the institution-reported year-end ratio.</x:v>
      </x:c>
      <x:c r="C17" s="12"/>
      <x:c r="D17" s="12"/>
      <x:c r="E17" s="12"/>
      <x:c r="F17" s="12"/>
      <x:c r="G17" s="12"/>
      <x:c r="H17" s="12"/>
      <x:c r="I17" s="12"/>
      <x:c r="J17" s="12"/>
      <x:c r="K17" s="12"/>
      <x:c r="L17" s="12"/>
      <x:c r="M17" s="12"/>
      <x:c r="N17" s="12"/>
      <x:c r="O17" s="12"/>
      <x:c r="P17" s="12"/>
      <x:c r="Q17" s="12"/>
    </x:row>
    <x:row r="18">
      <x:c r="A18" s="12" t="str">
        <x:v>3.</x:v>
      </x:c>
      <x:c r="B18" s="12" t="str">
        <x:v>ΔEVE/Capital is calculated from each institution's disclosed IRRBB maximum ΔEVE and IRRBB capital.</x:v>
      </x:c>
      <x:c r="C18" s="12"/>
      <x:c r="D18" s="12"/>
      <x:c r="E18" s="12"/>
      <x:c r="F18" s="12"/>
      <x:c r="G18" s="12"/>
      <x:c r="H18" s="12"/>
      <x:c r="I18" s="12"/>
      <x:c r="J18" s="12"/>
      <x:c r="K18" s="12"/>
      <x:c r="L18" s="12"/>
      <x:c r="M18" s="12"/>
      <x:c r="N18" s="12"/>
      <x:c r="O18" s="12"/>
      <x:c r="P18" s="12"/>
      <x:c r="Q18" s="12"/>
    </x:row>
    <x:row r="19">
      <x:c r="A19" s="12" t="str">
        <x:v>4.</x:v>
      </x:c>
      <x:c r="B19" s="12" t="str">
        <x:v>The comparison shows why absolute securities balances or unrealized losses alone are insufficient; capital absorption and duration structure materially change the risk picture.</x:v>
      </x:c>
      <x:c r="C19" s="12"/>
      <x:c r="D19" s="12"/>
      <x:c r="E19" s="12"/>
      <x:c r="F19" s="12"/>
      <x:c r="G19" s="12"/>
      <x:c r="H19" s="12"/>
      <x:c r="I19" s="12"/>
      <x:c r="J19" s="12"/>
      <x:c r="K19" s="12"/>
      <x:c r="L19" s="12"/>
      <x:c r="M19" s="12"/>
      <x:c r="N19" s="12"/>
      <x:c r="O19" s="12"/>
      <x:c r="P19" s="12"/>
      <x:c r="Q19" s="12"/>
    </x:row>
  </x:sheetData>
  <x:mergeCells>
    <x:mergeCell ref="A6:Q6"/>
    <x:mergeCell ref="A7:Q7"/>
    <x:mergeCell ref="A15:Q15"/>
    <x:mergeCell ref="B16:Q16"/>
    <x:mergeCell ref="B17:Q17"/>
    <x:mergeCell ref="B18:Q18"/>
    <x:mergeCell ref="B19:Q19"/>
  </x:mergeCells>
  <x:conditionalFormatting sqref="M2:M4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conditionalFormatting sqref="F2:F4">
    <x:cfRule type="colorScale" priority="2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0" hidden="0" customWidth="1"/>
    <x:col min="3" max="3" width="10" hidden="0" customWidth="1"/>
    <x:col min="4" max="4" width="15" hidden="0" customWidth="1"/>
    <x:col min="5" max="5" width="20" hidden="0" customWidth="1"/>
    <x:col min="6" max="6" width="12" hidden="0" customWidth="1"/>
    <x:col min="7" max="7" width="18" hidden="0" customWidth="1"/>
    <x:col min="8" max="8" width="20" hidden="0" customWidth="1"/>
    <x:col min="9" max="9" width="16" hidden="0" customWidth="1"/>
    <x:col min="10" max="10" width="15" hidden="0" customWidth="1"/>
    <x:col min="11" max="11" width="52" hidden="0" customWidth="1"/>
    <x:col min="12" max="12" width="48" hidden="0" customWidth="1"/>
    <x:col min="14" max="14" width="22" hidden="0" customWidth="1"/>
    <x:col min="15" max="15" width="22" hidden="0" customWidth="1"/>
  </x:cols>
  <x:sheetData>
    <x:row r="1">
      <x:c r="A1" s="88" t="str">
        <x:v>Rank</x:v>
      </x:c>
      <x:c r="B1" s="88" t="str">
        <x:v>Institution</x:v>
      </x:c>
      <x:c r="C1" s="88" t="str">
        <x:v>Prefecture</x:v>
      </x:c>
      <x:c r="D1" s="88" t="str">
        <x:v>Loan / Deposit</x:v>
      </x:c>
      <x:c r="E1" s="88" t="str">
        <x:v>Capital Adequacy Ratio</x:v>
      </x:c>
      <x:c r="F1" s="88" t="str">
        <x:v>NPL Ratio</x:v>
      </x:c>
      <x:c r="G1" s="88" t="str">
        <x:v>ΔEVE Max (JPY mm)</x:v>
      </x:c>
      <x:c r="H1" s="88" t="str">
        <x:v>IRRBB Capital (JPY mm)</x:v>
      </x:c>
      <x:c r="I1" s="88" t="str">
        <x:v>ΔEVE / Capital</x:v>
      </x:c>
      <x:c r="J1" s="88" t="str">
        <x:v>IRRBB Status</x:v>
      </x:c>
      <x:c r="K1" s="88" t="str">
        <x:v>Primary Source</x:v>
      </x:c>
      <x:c r="L1" s="88" t="str">
        <x:v>Interpretation / Next Check</x:v>
      </x:c>
      <x:c r="N1" s="89" t="str">
        <x:v>Bottom 20 Progress</x:v>
      </x:c>
      <x:c r="O1" s="89"/>
    </x:row>
    <x:row r="2">
      <x:c r="A2" s="18" t="n">
        <x:v>1</x:v>
      </x:c>
      <x:c r="B2" s="18" t="str">
        <x:v>高知信用金庫</x:v>
      </x:c>
      <x:c r="C2" s="18" t="str">
        <x:v>高知県</x:v>
      </x:c>
      <x:c r="D2" s="20" t="n">
        <x:v>0.09318554632014003</x:v>
      </x:c>
      <x:c r="E2" s="20" t="n">
        <x:v>0.5602</x:v>
      </x:c>
      <x:c r="F2" s="20" t="n">
        <x:v>0.004699999999999999</x:v>
      </x:c>
      <x:c r="G2" s="19" t="n">
        <x:v>50128</x:v>
      </x:c>
      <x:c r="H2" s="19" t="n">
        <x:v>257964</x:v>
      </x:c>
      <x:c r="I2" s="24" t="n">
        <x:f>IFERROR(G2/H2,"")</x:f>
        <x:v>0.19432168829759192</x:v>
      </x:c>
      <x:c r="J2" s="18" t="str">
        <x:v>Verified</x:v>
      </x:c>
      <x:c r="K2" s="18" t="str">
        <x:v>https://www.combank.co.jp/report/reportall.pdf</x:v>
      </x:c>
      <x:c r="L2" s="18" t="str">
        <x:v>Below 20% importance threshold; still inspect securities scale and duration.</x:v>
      </x:c>
      <x:c r="N2" s="91" t="str">
        <x:v>Metric</x:v>
      </x:c>
      <x:c r="O2" s="91" t="str">
        <x:v>Value</x:v>
      </x:c>
    </x:row>
    <x:row r="3">
      <x:c r="A3" s="18" t="n">
        <x:v>2</x:v>
      </x:c>
      <x:c r="B3" s="18" t="str">
        <x:v>稚内信用金庫</x:v>
      </x:c>
      <x:c r="C3" s="18" t="str">
        <x:v>北海道</x:v>
      </x:c>
      <x:c r="D3" s="20" t="n">
        <x:v>0.17274107248592377</x:v>
      </x:c>
      <x:c r="E3" s="20" t="n">
        <x:v>0.6186</x:v>
      </x:c>
      <x:c r="F3" s="20" t="n">
        <x:v>0.048600000000000004</x:v>
      </x:c>
      <x:c r="G3" s="19" t="n">
        <x:v>39677</x:v>
      </x:c>
      <x:c r="H3" s="19" t="n">
        <x:v>53186</x:v>
      </x:c>
      <x:c r="I3" s="24" t="n">
        <x:f>IFERROR(G3/H3,"")</x:f>
        <x:v>0.7460045876734479</x:v>
      </x:c>
      <x:c r="J3" s="18" t="str">
        <x:v>Verified</x:v>
      </x:c>
      <x:c r="K3" s="18" t="str">
        <x:v>https://www.shinkin.co.jp/wakashin/assets/pdf/07-disclo/year-2025_2024-r06-81-2/81-2_all.pdf</x:v>
      </x:c>
      <x:c r="L3" s="18" t="str">
        <x:v>Very high EVE sensitivity vs capital; inspect duration, security mix, and funding structure.</x:v>
      </x:c>
      <x:c r="N3" s="34" t="str">
        <x:v>Bottom-20 institutions</x:v>
      </x:c>
      <x:c r="O3" t="n">
        <x:v>20</x:v>
      </x:c>
    </x:row>
    <x:row r="4">
      <x:c r="A4" s="18" t="n">
        <x:v>3</x:v>
      </x:c>
      <x:c r="B4" s="18" t="str">
        <x:v>津信用金庫</x:v>
      </x:c>
      <x:c r="C4" s="18" t="str">
        <x:v>三重県</x:v>
      </x:c>
      <x:c r="D4" s="20" t="n">
        <x:v>0.19198262980948824</x:v>
      </x:c>
      <x:c r="E4" s="20" t="n">
        <x:v>0.2284</x:v>
      </x:c>
      <x:c r="F4" s="20" t="n">
        <x:v>0.0455</x:v>
      </x:c>
      <x:c r="G4" s="19" t="n">
        <x:v>3842</x:v>
      </x:c>
      <x:c r="H4" s="19" t="n">
        <x:v>9461</x:v>
      </x:c>
      <x:c r="I4" s="24" t="n">
        <x:f>IFERROR(G4/H4,"")</x:f>
        <x:v>0.40608815135820736</x:v>
      </x:c>
      <x:c r="J4" s="18" t="str">
        <x:v>Verified</x:v>
      </x:c>
      <x:c r="K4" s="18" t="str">
        <x:v>https://www.tsushinkin.co.jp/pdf/disc2025/disc2025_03.pdf</x:v>
      </x:c>
      <x:c r="L4" s="18" t="str">
        <x:v>High EVE sensitivity vs capital; inspect duration and loss-absorption capacity.</x:v>
      </x:c>
      <x:c r="N4" s="34" t="str">
        <x:v>IRRBB verified</x:v>
      </x:c>
      <x:c r="O4" t="n">
        <x:v>19</x:v>
      </x:c>
    </x:row>
    <x:row r="5">
      <x:c r="A5" s="18" t="n">
        <x:v>4</x:v>
      </x:c>
      <x:c r="B5" s="18" t="str">
        <x:v>越前信用金庫</x:v>
      </x:c>
      <x:c r="C5" s="18" t="str">
        <x:v>福井県</x:v>
      </x:c>
      <x:c r="D5" s="20" t="n">
        <x:v>0.22639331798117263</x:v>
      </x:c>
      <x:c r="E5" s="20" t="n">
        <x:v>0.1703</x:v>
      </x:c>
      <x:c r="F5" s="20" t="n">
        <x:v>0.027000000000000003</x:v>
      </x:c>
      <x:c r="G5" s="19" t="n">
        <x:v>8945</x:v>
      </x:c>
      <x:c r="H5" s="19" t="n">
        <x:v>17828</x:v>
      </x:c>
      <x:c r="I5" s="24" t="n">
        <x:f>IFERROR(G5/H5,"")</x:f>
        <x:v>0.5017388377832623</x:v>
      </x:c>
      <x:c r="J5" s="18" t="str">
        <x:v>Verified</x:v>
      </x:c>
      <x:c r="K5" s="18" t="str">
        <x:v>https://www.shinkin.co.jp/echishin/assets/pdf/corporate/disclosure/disco2025.pdf</x:v>
      </x:c>
      <x:c r="L5" s="18" t="str">
        <x:v>High EVE sensitivity vs capital; inspect duration and loss-absorption capacity.</x:v>
      </x:c>
      <x:c r="N5" s="34" t="str">
        <x:v>Pending IRRBB</x:v>
      </x:c>
      <x:c r="O5" t="n">
        <x:v>1</x:v>
      </x:c>
    </x:row>
    <x:row r="6">
      <x:c r="A6" s="18" t="n">
        <x:v>5</x:v>
      </x:c>
      <x:c r="B6" s="18" t="str">
        <x:v>紀北信用金庫</x:v>
      </x:c>
      <x:c r="C6" s="18" t="str">
        <x:v>三重県</x:v>
      </x:c>
      <x:c r="D6" s="20" t="n">
        <x:v>0.2353778252120646</x:v>
      </x:c>
      <x:c r="E6" s="20" t="n">
        <x:v>0.332</x:v>
      </x:c>
      <x:c r="F6" s="20" t="n">
        <x:v>0.06280000000000001</x:v>
      </x:c>
      <x:c r="G6" s="19" t="n">
        <x:v>3167</x:v>
      </x:c>
      <x:c r="H6" s="19" t="n">
        <x:v>10814</x:v>
      </x:c>
      <x:c r="I6" s="24" t="n">
        <x:f>IFERROR(G6/H6,"")</x:f>
        <x:v>0.29286110597373777</x:v>
      </x:c>
      <x:c r="J6" s="18" t="str">
        <x:v>Verified</x:v>
      </x:c>
      <x:c r="K6" s="18" t="str">
        <x:v>https://www.shinkin.co.jp/kihoku/pdf/disclose2025.pdf</x:v>
      </x:c>
      <x:c r="L6" s="18" t="str">
        <x:v>Moderate EVE sensitivity vs capital; compare securities structure before judging.</x:v>
      </x:c>
      <x:c r="N6" s="34" t="str">
        <x:v>Very high (&gt;=60%)</x:v>
      </x:c>
      <x:c r="O6" t="n">
        <x:f>COUNTIF(I2:I21,"&gt;=0.6")</x:f>
        <x:v>5</x:v>
      </x:c>
    </x:row>
    <x:row r="7">
      <x:c r="A7" s="18" t="n">
        <x:v>6</x:v>
      </x:c>
      <x:c r="B7" s="18" t="str">
        <x:v>八幡信用金庫</x:v>
      </x:c>
      <x:c r="C7" s="18" t="str">
        <x:v>岐阜県</x:v>
      </x:c>
      <x:c r="D7" s="20" t="n">
        <x:v>0.2502987464365213</x:v>
      </x:c>
      <x:c r="E7" s="20" t="n">
        <x:v>0.25239999999999996</x:v>
      </x:c>
      <x:c r="F7" s="20" t="n">
        <x:v>0.0229</x:v>
      </x:c>
      <x:c r="G7" s="19" t="n">
        <x:v>12586</x:v>
      </x:c>
      <x:c r="H7" s="19" t="n">
        <x:v>17837</x:v>
      </x:c>
      <x:c r="I7" s="24" t="n">
        <x:f>IFERROR(G7/H7,"")</x:f>
        <x:v>0.7056119302573303</x:v>
      </x:c>
      <x:c r="J7" s="18" t="str">
        <x:v>Verified</x:v>
      </x:c>
      <x:c r="K7" s="18" t="str">
        <x:v>https://www.shinkin.co.jp/hachiman/disclo/2026/all_shiryo.pdf</x:v>
      </x:c>
      <x:c r="L7" s="18" t="str">
        <x:v>Very high EVE sensitivity vs capital; inspect duration, security mix, and funding structure.</x:v>
      </x:c>
      <x:c r="N7" s="34" t="str">
        <x:v>High (40-60%)</x:v>
      </x:c>
      <x:c r="O7" t="n">
        <x:f>COUNTIFS(I2:I21,"&gt;=0.4",I2:I21,"&lt;0.6")</x:f>
        <x:v>6</x:v>
      </x:c>
    </x:row>
    <x:row r="8">
      <x:c r="A8" s="18" t="n">
        <x:v>7</x:v>
      </x:c>
      <x:c r="B8" s="18" t="str">
        <x:v>氷見伏木信用金庫</x:v>
      </x:c>
      <x:c r="C8" s="18" t="str">
        <x:v>富山県</x:v>
      </x:c>
      <x:c r="D8" s="20" t="n">
        <x:v>0.2575781189121795</x:v>
      </x:c>
      <x:c r="E8" s="20" t="n">
        <x:v>0.1865</x:v>
      </x:c>
      <x:c r="F8" s="20" t="n">
        <x:v>0.0564</x:v>
      </x:c>
      <x:c r="G8" s="19" t="n">
        <x:v>4634</x:v>
      </x:c>
      <x:c r="H8" s="19" t="n">
        <x:v>9044</x:v>
      </x:c>
      <x:c r="I8" s="24" t="n">
        <x:f>IFERROR(G8/H8,"")</x:f>
        <x:v>0.5123839009287926</x:v>
      </x:c>
      <x:c r="J8" s="18" t="str">
        <x:v>Verified</x:v>
      </x:c>
      <x:c r="K8" s="18" t="str">
        <x:v>https://www.shinkin.co.jp/himifusi/assets/pdf/aboutus/disclosure202503.pdf</x:v>
      </x:c>
      <x:c r="L8" s="18" t="str">
        <x:v>High EVE sensitivity vs capital; inspect duration and loss-absorption capacity.</x:v>
      </x:c>
    </x:row>
    <x:row r="9">
      <x:c r="A9" s="18" t="n">
        <x:v>8</x:v>
      </x:c>
      <x:c r="B9" s="18" t="str">
        <x:v>中兵庫信用金庫</x:v>
      </x:c>
      <x:c r="C9" s="18" t="str">
        <x:v>兵庫県</x:v>
      </x:c>
      <x:c r="D9" s="20" t="n">
        <x:v>0.26468518531953017</x:v>
      </x:c>
      <x:c r="E9" s="20" t="n">
        <x:v>0.2981</x:v>
      </x:c>
      <x:c r="F9" s="20" t="n">
        <x:v>0.0545</x:v>
      </x:c>
      <x:c r="G9" s="19" t="n">
        <x:v>14939</x:v>
      </x:c>
      <x:c r="H9" s="19" t="n">
        <x:v>60057</x:v>
      </x:c>
      <x:c r="I9" s="24" t="n">
        <x:f>IFERROR(G9/H9,"")</x:f>
        <x:v>0.24874702366085552</x:v>
      </x:c>
      <x:c r="J9" s="18" t="str">
        <x:v>Verified</x:v>
      </x:c>
      <x:c r="K9" s="18" t="str">
        <x:v>https://www.nakashin.co.jp/company/disclosure/2025/pdf/2025.pdf</x:v>
      </x:c>
      <x:c r="L9" s="18" t="str">
        <x:v>Moderate EVE sensitivity vs capital; compare securities structure before judging.</x:v>
      </x:c>
    </x:row>
    <x:row r="10">
      <x:c r="A10" s="18" t="n">
        <x:v>9</x:v>
      </x:c>
      <x:c r="B10" s="18" t="str">
        <x:v>中南信用金庫</x:v>
      </x:c>
      <x:c r="C10" s="18" t="str">
        <x:v>神奈川県</x:v>
      </x:c>
      <x:c r="D10" s="20" t="n">
        <x:v>0.30121466342142666</x:v>
      </x:c>
      <x:c r="E10" s="20" t="n">
        <x:v>0.128</x:v>
      </x:c>
      <x:c r="F10" s="20" t="n">
        <x:v>0.023700000000000002</x:v>
      </x:c>
      <x:c r="G10" s="19"/>
      <x:c r="H10" s="19"/>
      <x:c r="I10" s="24" t="str">
        <x:f>IFERROR(G10/H10,"")</x:f>
      </x:c>
      <x:c r="J10" s="18" t="str">
        <x:v>Source PDF pending extraction</x:v>
      </x:c>
      <x:c r="K10" s="18" t="str">
        <x:v>https://www.shinkin.co.jp/chunan/about/data/disclosure_25.pdf</x:v>
      </x:c>
      <x:c r="L10" s="18" t="str">
        <x:v>Official 2025 disclosure identified (35.8MB), but the IRRBB table could not be reliably extracted in this pass. Do not infer values from older reports.</x:v>
      </x:c>
    </x:row>
    <x:row r="11">
      <x:c r="A11" s="18" t="n">
        <x:v>10</x:v>
      </x:c>
      <x:c r="B11" s="18" t="str">
        <x:v>大地みらい信用金庫</x:v>
      </x:c>
      <x:c r="C11" s="18" t="str">
        <x:v>北海道</x:v>
      </x:c>
      <x:c r="D11" s="20" t="n">
        <x:v>0.30239075969255597</x:v>
      </x:c>
      <x:c r="E11" s="20" t="n">
        <x:v>0.2241</x:v>
      </x:c>
      <x:c r="F11" s="20" t="n">
        <x:v>0.0984</x:v>
      </x:c>
      <x:c r="G11" s="19" t="n">
        <x:v>16445</x:v>
      </x:c>
      <x:c r="H11" s="19" t="n">
        <x:v>30283</x:v>
      </x:c>
      <x:c r="I11" s="24" t="n">
        <x:f>IFERROR(G11/H11,"")</x:f>
        <x:v>0.5430439520523066</x:v>
      </x:c>
      <x:c r="J11" s="18" t="str">
        <x:v>Verified</x:v>
      </x:c>
      <x:c r="K11" s="18" t="str">
        <x:v>https://www.daichimirai.co.jp/company/disclosure/2025/2025_document.pdf</x:v>
      </x:c>
      <x:c r="L11" s="18" t="str">
        <x:v>High EVE sensitivity vs capital; inspect duration and loss-absorption capacity.</x:v>
      </x:c>
    </x:row>
    <x:row r="12">
      <x:c r="A12" s="18" t="n">
        <x:v>11</x:v>
      </x:c>
      <x:c r="B12" s="18" t="str">
        <x:v>敦賀信用金庫</x:v>
      </x:c>
      <x:c r="C12" s="18" t="str">
        <x:v>福井県</x:v>
      </x:c>
      <x:c r="D12" s="20" t="n">
        <x:v>0.3073870100320612</x:v>
      </x:c>
      <x:c r="E12" s="20" t="n">
        <x:v>0.1303</x:v>
      </x:c>
      <x:c r="F12" s="20" t="n">
        <x:v>0.056100000000000004</x:v>
      </x:c>
      <x:c r="G12" s="19" t="n">
        <x:v>5063</x:v>
      </x:c>
      <x:c r="H12" s="19" t="n">
        <x:v>8737</x:v>
      </x:c>
      <x:c r="I12" s="24" t="n">
        <x:f>IFERROR(G12/H12,"")</x:f>
        <x:v>0.5794895272976994</x:v>
      </x:c>
      <x:c r="J12" s="18" t="str">
        <x:v>Verified</x:v>
      </x:c>
      <x:c r="K12" s="18" t="str">
        <x:v>https://www.shinkin.co.jp/tsuruga/about/disc/pdf/all2025.pdf</x:v>
      </x:c>
      <x:c r="L12" s="18" t="str">
        <x:v>High EVE sensitivity vs capital; inspect duration and loss-absorption capacity.</x:v>
      </x:c>
    </x:row>
    <x:row r="13">
      <x:c r="A13" s="18" t="n">
        <x:v>12</x:v>
      </x:c>
      <x:c r="B13" s="18" t="str">
        <x:v>室蘭信用金庫</x:v>
      </x:c>
      <x:c r="C13" s="18" t="str">
        <x:v>北海道</x:v>
      </x:c>
      <x:c r="D13" s="20" t="n">
        <x:v>0.30857008594431173</x:v>
      </x:c>
      <x:c r="E13" s="20" t="n">
        <x:v>0.2768</x:v>
      </x:c>
      <x:c r="F13" s="20" t="n">
        <x:v>0.0166</x:v>
      </x:c>
      <x:c r="G13" s="19" t="n">
        <x:v>14644</x:v>
      </x:c>
      <x:c r="H13" s="19" t="n">
        <x:v>38552</x:v>
      </x:c>
      <x:c r="I13" s="24" t="n">
        <x:f>IFERROR(G13/H13,"")</x:f>
        <x:v>0.379850591409006</x:v>
      </x:c>
      <x:c r="J13" s="18" t="str">
        <x:v>Verified</x:v>
      </x:c>
      <x:c r="K13" s="18" t="str">
        <x:v>https://www.shinkin.co.jp/muroshin/info/pdf/discro202603_3.pdf</x:v>
      </x:c>
      <x:c r="L13" s="18" t="str">
        <x:v>Moderate EVE sensitivity vs capital; compare securities structure before judging.</x:v>
      </x:c>
    </x:row>
    <x:row r="14">
      <x:c r="A14" s="18" t="n">
        <x:v>13</x:v>
      </x:c>
      <x:c r="B14" s="18" t="str">
        <x:v>銚子信用金庫</x:v>
      </x:c>
      <x:c r="C14" s="18" t="str">
        <x:v>千葉県</x:v>
      </x:c>
      <x:c r="D14" s="20" t="n">
        <x:v>0.3232258239040376</x:v>
      </x:c>
      <x:c r="E14" s="20" t="n">
        <x:v>0.1257</x:v>
      </x:c>
      <x:c r="F14" s="20" t="n">
        <x:v>0.058899999999999994</x:v>
      </x:c>
      <x:c r="G14" s="19" t="n">
        <x:v>14712</x:v>
      </x:c>
      <x:c r="H14" s="19" t="n">
        <x:v>23343</x:v>
      </x:c>
      <x:c r="I14" s="24" t="n">
        <x:f>IFERROR(G14/H14,"")</x:f>
        <x:v>0.6302531808250867</x:v>
      </x:c>
      <x:c r="J14" s="18" t="str">
        <x:v>Verified</x:v>
      </x:c>
      <x:c r="K14" s="18" t="str">
        <x:v>https://www.choshi-shinkin.co.jp/kigyo/disclosure/files/2025disclo-siryo.pdf</x:v>
      </x:c>
      <x:c r="L14" s="18" t="str">
        <x:v>Very high EVE sensitivity vs capital; inspect duration, security mix, and funding structure.</x:v>
      </x:c>
    </x:row>
    <x:row r="15">
      <x:c r="A15" s="18" t="n">
        <x:v>14</x:v>
      </x:c>
      <x:c r="B15" s="18" t="str">
        <x:v>あぶくま信用金庫</x:v>
      </x:c>
      <x:c r="C15" s="18" t="str">
        <x:v>福島県</x:v>
      </x:c>
      <x:c r="D15" s="20" t="n">
        <x:v>0.3250872540331997</x:v>
      </x:c>
      <x:c r="E15" s="20" t="n">
        <x:v>0.3563</x:v>
      </x:c>
      <x:c r="F15" s="20" t="n">
        <x:v>0.0194</x:v>
      </x:c>
      <x:c r="G15" s="19" t="n">
        <x:v>10216</x:v>
      </x:c>
      <x:c r="H15" s="19" t="n">
        <x:v>37783</x:v>
      </x:c>
      <x:c r="I15" s="24" t="n">
        <x:f>IFERROR(G15/H15,"")</x:f>
        <x:v>0.2703861525024482</x:v>
      </x:c>
      <x:c r="J15" s="18" t="str">
        <x:v>Verified</x:v>
      </x:c>
      <x:c r="K15" s="18" t="str">
        <x:v>https://www.shinkin.co.jp/abukuma/img/top/disclo/r6/disclo/4.pdf</x:v>
      </x:c>
      <x:c r="L15" s="18" t="str">
        <x:v>Moderate EVE sensitivity vs capital; compare securities structure before judging.</x:v>
      </x:c>
    </x:row>
    <x:row r="16">
      <x:c r="A16" s="18" t="n">
        <x:v>15</x:v>
      </x:c>
      <x:c r="B16" s="18" t="str">
        <x:v>伊達信用金庫</x:v>
      </x:c>
      <x:c r="C16" s="18" t="str">
        <x:v>北海道</x:v>
      </x:c>
      <x:c r="D16" s="20" t="n">
        <x:v>0.32521147973306824</x:v>
      </x:c>
      <x:c r="E16" s="20" t="n">
        <x:v>0.128</x:v>
      </x:c>
      <x:c r="F16" s="20" t="n">
        <x:v>0.0479</x:v>
      </x:c>
      <x:c r="G16" s="19" t="n">
        <x:v>4162</x:v>
      </x:c>
      <x:c r="H16" s="19" t="n">
        <x:v>6598</x:v>
      </x:c>
      <x:c r="I16" s="24" t="n">
        <x:f>IFERROR(G16/H16,"")</x:f>
        <x:v>0.6307972112761443</x:v>
      </x:c>
      <x:c r="J16" s="18" t="str">
        <x:v>Verified</x:v>
      </x:c>
      <x:c r="K16" s="18" t="str">
        <x:v>https://www.shinkin.co.jp/dateshin/common/asset/data/pdf/report2025.pdf</x:v>
      </x:c>
      <x:c r="L16" s="18" t="str">
        <x:v>Very high EVE sensitivity vs capital; inspect duration, security mix, and funding structure.</x:v>
      </x:c>
    </x:row>
    <x:row r="17">
      <x:c r="A17" s="18" t="n">
        <x:v>16</x:v>
      </x:c>
      <x:c r="B17" s="18" t="str">
        <x:v>新湊信用金庫</x:v>
      </x:c>
      <x:c r="C17" s="18" t="str">
        <x:v>富山県</x:v>
      </x:c>
      <x:c r="D17" s="20" t="n">
        <x:v>0.32614734715430355</x:v>
      </x:c>
      <x:c r="E17" s="20" t="n">
        <x:v>0.10949999999999999</x:v>
      </x:c>
      <x:c r="F17" s="20" t="n">
        <x:v>0.0475</x:v>
      </x:c>
      <x:c r="G17" s="19" t="n">
        <x:v>2302</x:v>
      </x:c>
      <x:c r="H17" s="19" t="n">
        <x:v>3922</x:v>
      </x:c>
      <x:c r="I17" s="24" t="n">
        <x:f>IFERROR(G17/H17,"")</x:f>
        <x:v>0.5869454360020397</x:v>
      </x:c>
      <x:c r="J17" s="18" t="str">
        <x:v>Verified</x:v>
      </x:c>
      <x:c r="K17" s="18" t="str">
        <x:v>https://www.shinkin.co.jp/s-minato/about/data/disclosure_2025.pdf</x:v>
      </x:c>
      <x:c r="L17" s="18" t="str">
        <x:v>High EVE sensitivity vs capital; inspect duration and loss-absorption capacity.</x:v>
      </x:c>
    </x:row>
    <x:row r="18">
      <x:c r="A18" s="18" t="n">
        <x:v>17</x:v>
      </x:c>
      <x:c r="B18" s="18" t="str">
        <x:v>備前日生信用金庫</x:v>
      </x:c>
      <x:c r="C18" s="18" t="str">
        <x:v>岡山県</x:v>
      </x:c>
      <x:c r="D18" s="20" t="n">
        <x:v>0.32619327028890543</x:v>
      </x:c>
      <x:c r="E18" s="20" t="n">
        <x:v>0.1246</x:v>
      </x:c>
      <x:c r="F18" s="20" t="n">
        <x:v>0.0484</x:v>
      </x:c>
      <x:c r="G18" s="19" t="n">
        <x:v>5207</x:v>
      </x:c>
      <x:c r="H18" s="19" t="n">
        <x:v>14272</x:v>
      </x:c>
      <x:c r="I18" s="24" t="n">
        <x:f>IFERROR(G18/H18,"")</x:f>
        <x:v>0.3648402466367713</x:v>
      </x:c>
      <x:c r="J18" s="18" t="str">
        <x:v>Verified</x:v>
      </x:c>
      <x:c r="K18" s="18" t="str">
        <x:v>https://www.shinkin.co.jp/bizenhinase/_pdf/about/disclosure/20250725.pdf</x:v>
      </x:c>
      <x:c r="L18" s="18" t="str">
        <x:v>Moderate EVE sensitivity vs capital; compare securities structure before judging.</x:v>
      </x:c>
    </x:row>
    <x:row r="19">
      <x:c r="A19" s="18" t="n">
        <x:v>18</x:v>
      </x:c>
      <x:c r="B19" s="18" t="str">
        <x:v>淡路信用金庫</x:v>
      </x:c>
      <x:c r="C19" s="18" t="str">
        <x:v>兵庫県</x:v>
      </x:c>
      <x:c r="D19" s="20" t="n">
        <x:v>0.3326187091457669</x:v>
      </x:c>
      <x:c r="E19" s="20" t="n">
        <x:v>0.2155</x:v>
      </x:c>
      <x:c r="F19" s="20" t="n">
        <x:v>0.0313</x:v>
      </x:c>
      <x:c r="G19" s="19" t="n">
        <x:v>12034</x:v>
      </x:c>
      <x:c r="H19" s="19" t="n">
        <x:v>53171</x:v>
      </x:c>
      <x:c r="I19" s="24" t="n">
        <x:f>IFERROR(G19/H19,"")</x:f>
        <x:v>0.22632638092193114</x:v>
      </x:c>
      <x:c r="J19" s="18" t="str">
        <x:v>Verified</x:v>
      </x:c>
      <x:c r="K19" s="18" t="str">
        <x:v>https://www.shinkin.co.jp/awaji/annai/disclosure/pdf/2025/siryo.pdf</x:v>
      </x:c>
      <x:c r="L19" s="18" t="str">
        <x:v>Moderate EVE sensitivity vs capital; compare securities structure before judging.</x:v>
      </x:c>
    </x:row>
    <x:row r="20">
      <x:c r="A20" s="18" t="n">
        <x:v>19</x:v>
      </x:c>
      <x:c r="B20" s="18" t="str">
        <x:v>結城信用金庫</x:v>
      </x:c>
      <x:c r="C20" s="18" t="str">
        <x:v>茨城県</x:v>
      </x:c>
      <x:c r="D20" s="20" t="n">
        <x:v>0.33454037771279355</x:v>
      </x:c>
      <x:c r="E20" s="20" t="n">
        <x:v>0.1414</x:v>
      </x:c>
      <x:c r="F20" s="20" t="n">
        <x:v>0.0332</x:v>
      </x:c>
      <x:c r="G20" s="19" t="n">
        <x:v>6489</x:v>
      </x:c>
      <x:c r="H20" s="19" t="n">
        <x:v>22315</x:v>
      </x:c>
      <x:c r="I20" s="24" t="n">
        <x:f>IFERROR(G20/H20,"")</x:f>
        <x:v>0.2907909477929644</x:v>
      </x:c>
      <x:c r="J20" s="18" t="str">
        <x:v>Verified</x:v>
      </x:c>
      <x:c r="K20" s="18" t="str">
        <x:v>https://www.shinkin.co.jp/yuki/disclosure/documents/2025.pdf</x:v>
      </x:c>
      <x:c r="L20" s="18" t="str">
        <x:v>Moderate EVE sensitivity vs capital; compare securities structure before judging.</x:v>
      </x:c>
    </x:row>
    <x:row r="21">
      <x:c r="A21" s="18" t="n">
        <x:v>20</x:v>
      </x:c>
      <x:c r="B21" s="18" t="str">
        <x:v>上越信用金庫</x:v>
      </x:c>
      <x:c r="C21" s="18" t="str">
        <x:v>新潟県</x:v>
      </x:c>
      <x:c r="D21" s="20" t="n">
        <x:v>0.3366767333069141</x:v>
      </x:c>
      <x:c r="E21" s="20" t="n">
        <x:v>0.1304</x:v>
      </x:c>
      <x:c r="F21" s="20" t="n">
        <x:v>0.06509999999999999</x:v>
      </x:c>
      <x:c r="G21" s="19" t="n">
        <x:v>8517</x:v>
      </x:c>
      <x:c r="H21" s="19" t="n">
        <x:v>11336</x:v>
      </x:c>
      <x:c r="I21" s="24" t="n">
        <x:f>IFERROR(G21/H21,"")</x:f>
        <x:v>0.7513232180663373</x:v>
      </x:c>
      <x:c r="J21" s="18" t="str">
        <x:v>Verified</x:v>
      </x:c>
      <x:c r="K21" s="18" t="str">
        <x:v>https://www.joetsu-shinkin.jp/files/about/disclosure/disclosure_2025.pdf</x:v>
      </x:c>
      <x:c r="L21" s="18" t="str">
        <x:v>Very high EVE sensitivity vs capital; inspect duration, security mix, and funding structure.</x:v>
      </x:c>
    </x:row>
  </x:sheetData>
  <x:mergeCells>
    <x:mergeCell ref="N1:O1"/>
  </x:mergeCells>
  <x:conditionalFormatting sqref="I2:I21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conditionalFormatting sqref="D2:D21">
    <x:cfRule type="colorScale" priority="2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conditionalFormatting sqref="J2:J21">
    <x:cfRule type="expression" dxfId="3" priority="3">
      <x:formula>J2="Pending IRRBB"</x:formula>
    </x:cfRule>
    <x:cfRule type="expression" dxfId="4" priority="4">
      <x:formula>J2="Verified"</x:formula>
    </x:cfRule>
    <x:cfRule type="expression" dxfId="5" priority="5">
      <x:formula>J2="Source PDF pending extraction"</x:formula>
    </x:cfRule>
  </x:conditionalFormatting>
  <x:pageMargins left="0.7" right="0.7" top="0.75" bottom="0.75" header="0.3" footer="0.3"/>
  <x:drawing xmlns:r="http://schemas.openxmlformats.org/officeDocument/2006/relationships" r:id="R5270cc710bc44890"/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0" hidden="0" customWidth="1"/>
    <x:col min="3" max="3" width="14" hidden="0" customWidth="1"/>
    <x:col min="4" max="4" width="18" hidden="0" customWidth="1"/>
    <x:col min="5" max="5" width="18" hidden="0" customWidth="1"/>
    <x:col min="6" max="6" width="15" hidden="0" customWidth="1"/>
    <x:col min="7" max="7" width="19" hidden="0" customWidth="1"/>
    <x:col min="8" max="8" width="19" hidden="0" customWidth="1"/>
    <x:col min="9" max="9" width="20" hidden="0" customWidth="1"/>
    <x:col min="10" max="10" width="18" hidden="0" customWidth="1"/>
    <x:col min="11" max="11" width="19" hidden="0" customWidth="1"/>
    <x:col min="12" max="12" width="18" hidden="0" customWidth="1"/>
    <x:col min="13" max="13" width="16" hidden="0" customWidth="1"/>
    <x:col min="14" max="14" width="18" hidden="0" customWidth="1"/>
    <x:col min="15" max="15" width="18" hidden="0" customWidth="1"/>
    <x:col min="16" max="16" width="20" hidden="0" customWidth="1"/>
    <x:col min="17" max="17" width="16" hidden="0" customWidth="1"/>
    <x:col min="18" max="18" width="34" hidden="0" customWidth="1"/>
    <x:col min="19" max="19" width="14" hidden="0" customWidth="1"/>
    <x:col min="20" max="20" width="58" hidden="0" customWidth="1"/>
  </x:cols>
  <x:sheetData>
    <x:row r="1">
      <x:c r="A1" s="96" t="str">
        <x:v>Institution</x:v>
      </x:c>
      <x:c r="B1" s="96" t="str">
        <x:v>Prefecture</x:v>
      </x:c>
      <x:c r="C1" s="96" t="str">
        <x:v>Loan / Deposit</x:v>
      </x:c>
      <x:c r="D1" s="96" t="str">
        <x:v>Securities / Deposit</x:v>
      </x:c>
      <x:c r="E1" s="96" t="str">
        <x:v>Securities EOP (JPY mm)</x:v>
      </x:c>
      <x:c r="F1" s="96" t="str">
        <x:v>JGB (JPY mm)</x:v>
      </x:c>
      <x:c r="G1" s="96" t="str">
        <x:v>Local Govt Bonds (JPY mm)</x:v>
      </x:c>
      <x:c r="H1" s="96" t="str">
        <x:v>Corporate Bonds (JPY mm)</x:v>
      </x:c>
      <x:c r="I1" s="96" t="str">
        <x:v>Foreign Securities (JPY mm)</x:v>
      </x:c>
      <x:c r="J1" s="96" t="str">
        <x:v>Other / Equity (JPY mm)</x:v>
      </x:c>
      <x:c r="K1" s="96" t="str">
        <x:v>10Y+ Securities (JPY mm)</x:v>
      </x:c>
      <x:c r="L1" s="96" t="str">
        <x:v>10Y+ / Securities</x:v>
      </x:c>
      <x:c r="M1" s="96" t="str">
        <x:v>JGB / Securities</x:v>
      </x:c>
      <x:c r="N1" s="96" t="str">
        <x:v>Foreign / Securities</x:v>
      </x:c>
      <x:c r="O1" s="96" t="str">
        <x:v>ΔEVE Max (JPY mm)</x:v>
      </x:c>
      <x:c r="P1" s="96" t="str">
        <x:v>IRRBB Capital (JPY mm)</x:v>
      </x:c>
      <x:c r="Q1" s="96" t="str">
        <x:v>ΔEVE / Capital</x:v>
      </x:c>
      <x:c r="R1" s="96" t="str">
        <x:v>Composition Flag</x:v>
      </x:c>
      <x:c r="S1" s="96" t="str">
        <x:v>Data Status</x:v>
      </x:c>
      <x:c r="T1" s="96" t="str">
        <x:v>Primary Source</x:v>
      </x:c>
    </x:row>
    <x:row r="2">
      <x:c r="A2" s="18" t="str">
        <x:v>稚内信用金庫</x:v>
      </x:c>
      <x:c r="B2" s="18" t="str">
        <x:v>北海道</x:v>
      </x:c>
      <x:c r="C2" s="20" t="n">
        <x:v>0.17274107248592377</x:v>
      </x:c>
      <x:c r="D2" s="20" t="n">
        <x:v>0.5512</x:v>
      </x:c>
      <x:c r="E2" s="19" t="n">
        <x:v>255974</x:v>
      </x:c>
      <x:c r="F2" s="19" t="n">
        <x:v>245820</x:v>
      </x:c>
      <x:c r="G2" s="19"/>
      <x:c r="H2" s="19"/>
      <x:c r="I2" s="19" t="n">
        <x:v>7219</x:v>
      </x:c>
      <x:c r="J2" s="19"/>
      <x:c r="K2" s="19" t="n">
        <x:v>217318</x:v>
      </x:c>
      <x:c r="L2" s="24" t="n">
        <x:f>IF(OR(K2="",E2=""),"",K2/E2)</x:f>
        <x:v>0.8489846625047857</x:v>
      </x:c>
      <x:c r="M2" s="24" t="n">
        <x:f>IF(OR(F2="",E2=""),"",F2/E2)</x:f>
        <x:v>0.9603319087094783</x:v>
      </x:c>
      <x:c r="N2" s="24" t="n">
        <x:f>IF(OR(I2="",E2=""),"",I2/E2)</x:f>
        <x:v>0.02820208302405713</x:v>
      </x:c>
      <x:c r="O2" s="19" t="n">
        <x:v>39677</x:v>
      </x:c>
      <x:c r="P2" s="19" t="n">
        <x:v>53186</x:v>
      </x:c>
      <x:c r="Q2" s="24" t="n">
        <x:f>IF(OR(O2="",P2=""),"",O2/P2)</x:f>
        <x:v>0.7460045876734479</x:v>
      </x:c>
      <x:c r="R2" s="18" t="str">
        <x:v>JGB / ultra-long</x:v>
      </x:c>
      <x:c r="S2" s="18" t="str">
        <x:v>Verified</x:v>
      </x:c>
      <x:c r="T2" s="18" t="str">
        <x:v>https://www.shinkin.co.jp/wakashin/assets/pdf/07-disclo/year-2025_2024-r06-81-2/81-2_all.pdf</x:v>
      </x:c>
    </x:row>
    <x:row r="3">
      <x:c r="A3" s="18" t="str">
        <x:v>上越信用金庫</x:v>
      </x:c>
      <x:c r="B3" s="18" t="str">
        <x:v>新潟県</x:v>
      </x:c>
      <x:c r="C3" s="20" t="n">
        <x:v>0.3366767333069141</x:v>
      </x:c>
      <x:c r="D3" s="20"/>
      <x:c r="E3" s="19" t="n">
        <x:v>78839</x:v>
      </x:c>
      <x:c r="F3" s="19" t="n">
        <x:v>4188</x:v>
      </x:c>
      <x:c r="G3" s="19" t="n">
        <x:v>2289</x:v>
      </x:c>
      <x:c r="H3" s="19" t="n">
        <x:v>38099</x:v>
      </x:c>
      <x:c r="I3" s="19" t="n">
        <x:v>34176</x:v>
      </x:c>
      <x:c r="J3" s="19" t="n">
        <x:v>87</x:v>
      </x:c>
      <x:c r="K3" s="19" t="n">
        <x:v>30733</x:v>
      </x:c>
      <x:c r="L3" s="24" t="n">
        <x:f>IF(OR(K3="",E3=""),"",K3/E3)</x:f>
        <x:v>0.3898197592562057</x:v>
      </x:c>
      <x:c r="M3" s="24" t="n">
        <x:f>IF(OR(F3="",E3=""),"",F3/E3)</x:f>
        <x:v>0.05312091731249762</x:v>
      </x:c>
      <x:c r="N3" s="24" t="n">
        <x:f>IF(OR(I3="",E3=""),"",I3/E3)</x:f>
        <x:v>0.433491038699121</x:v>
      </x:c>
      <x:c r="O3" s="19" t="n">
        <x:v>8517</x:v>
      </x:c>
      <x:c r="P3" s="19" t="n">
        <x:v>11336</x:v>
      </x:c>
      <x:c r="Q3" s="24" t="n">
        <x:f>IF(OR(O3="",P3=""),"",O3/P3)</x:f>
        <x:v>0.7513232180663373</x:v>
      </x:c>
      <x:c r="R3" s="18" t="str">
        <x:v>Foreign securities / long-duration</x:v>
      </x:c>
      <x:c r="S3" s="18" t="str">
        <x:v>Verified</x:v>
      </x:c>
      <x:c r="T3" s="18" t="str">
        <x:v>https://www.joetsu-shinkin.jp/files/about/disclosure/disclosure_2025.pdf</x:v>
      </x:c>
    </x:row>
    <x:row r="4">
      <x:c r="A4" s="18" t="str">
        <x:v>八幡信用金庫</x:v>
      </x:c>
      <x:c r="B4" s="18" t="str">
        <x:v>岐阜県</x:v>
      </x:c>
      <x:c r="C4" s="20" t="n">
        <x:v>0.2502987464365213</x:v>
      </x:c>
      <x:c r="D4" s="20" t="n">
        <x:v>0.3894</x:v>
      </x:c>
      <x:c r="E4" s="19" t="n">
        <x:v>49857</x:v>
      </x:c>
      <x:c r="F4" s="19" t="n">
        <x:v>6736</x:v>
      </x:c>
      <x:c r="G4" s="19" t="n">
        <x:v>0</x:v>
      </x:c>
      <x:c r="H4" s="19" t="n">
        <x:v>531</x:v>
      </x:c>
      <x:c r="I4" s="19" t="n">
        <x:v>42577</x:v>
      </x:c>
      <x:c r="J4" s="19" t="n">
        <x:v>13</x:v>
      </x:c>
      <x:c r="K4" s="19" t="n">
        <x:v>49214</x:v>
      </x:c>
      <x:c r="L4" s="24" t="n">
        <x:f>IF(OR(K4="",E4=""),"",K4/E4)</x:f>
        <x:v>0.9871031149086387</x:v>
      </x:c>
      <x:c r="M4" s="24" t="n">
        <x:f>IF(OR(F4="",E4=""),"",F4/E4)</x:f>
        <x:v>0.13510640431634474</x:v>
      </x:c>
      <x:c r="N4" s="24" t="n">
        <x:f>IF(OR(I4="",E4=""),"",I4/E4)</x:f>
        <x:v>0.8539823896343542</x:v>
      </x:c>
      <x:c r="O4" s="19" t="n">
        <x:v>12586</x:v>
      </x:c>
      <x:c r="P4" s="19" t="n">
        <x:v>17837</x:v>
      </x:c>
      <x:c r="Q4" s="24" t="n">
        <x:f>IF(OR(O4="",P4=""),"",O4/P4)</x:f>
        <x:v>0.7056119302573303</x:v>
      </x:c>
      <x:c r="R4" s="18" t="str">
        <x:v>Foreign bonds / ultra-long</x:v>
      </x:c>
      <x:c r="S4" s="18" t="str">
        <x:v>Verified</x:v>
      </x:c>
      <x:c r="T4" s="18" t="str">
        <x:v>https://www.shinkin.co.jp/hachiman/disclo/2025/all_hon.pdf</x:v>
      </x:c>
    </x:row>
    <x:row r="5">
      <x:c r="A5" s="18" t="str">
        <x:v>伊達信用金庫</x:v>
      </x:c>
      <x:c r="B5" s="18" t="str">
        <x:v>北海道</x:v>
      </x:c>
      <x:c r="C5" s="20" t="n">
        <x:v>0.32521147973306824</x:v>
      </x:c>
      <x:c r="D5" s="20" t="n">
        <x:v>0.2667</x:v>
      </x:c>
      <x:c r="E5" s="19" t="n">
        <x:v>44803</x:v>
      </x:c>
      <x:c r="F5" s="19" t="n">
        <x:v>1655</x:v>
      </x:c>
      <x:c r="G5" s="19" t="n">
        <x:v>23068</x:v>
      </x:c>
      <x:c r="H5" s="19" t="n">
        <x:v>13025</x:v>
      </x:c>
      <x:c r="I5" s="19" t="n">
        <x:v>5632</x:v>
      </x:c>
      <x:c r="J5" s="19" t="n">
        <x:v>1423</x:v>
      </x:c>
      <x:c r="K5" s="19" t="n">
        <x:v>1011</x:v>
      </x:c>
      <x:c r="L5" s="24" t="n">
        <x:f>IF(OR(K5="",E5=""),"",K5/E5)</x:f>
        <x:v>0.02256545320625851</x:v>
      </x:c>
      <x:c r="M5" s="24" t="n">
        <x:f>IF(OR(F5="",E5=""),"",F5/E5)</x:f>
        <x:v>0.03693949065910765</x:v>
      </x:c>
      <x:c r="N5" s="24" t="n">
        <x:f>IF(OR(I5="",E5=""),"",I5/E5)</x:f>
        <x:v>0.125705867910631</x:v>
      </x:c>
      <x:c r="O5" s="19" t="n">
        <x:v>4162</x:v>
      </x:c>
      <x:c r="P5" s="19" t="n">
        <x:v>6598</x:v>
      </x:c>
      <x:c r="Q5" s="24" t="n">
        <x:f>IF(OR(O5="",P5=""),"",O5/P5)</x:f>
        <x:v>0.6307972112761443</x:v>
      </x:c>
      <x:c r="R5" s="18" t="str">
        <x:v>Local govt bonds / low 10Y+</x:v>
      </x:c>
      <x:c r="S5" s="18" t="str">
        <x:v>Verified</x:v>
      </x:c>
      <x:c r="T5" s="18" t="str">
        <x:v>https://www.shinkin.co.jp/dateshin/common/asset/data/pdf/report2025.pdf</x:v>
      </x:c>
    </x:row>
    <x:row r="6">
      <x:c r="A6" s="18" t="str">
        <x:v>銚子信用金庫</x:v>
      </x:c>
      <x:c r="B6" s="18" t="str">
        <x:v>千葉県</x:v>
      </x:c>
      <x:c r="C6" s="20" t="n">
        <x:v>0.3232258239040376</x:v>
      </x:c>
      <x:c r="D6" s="20" t="n">
        <x:v>0.3832</x:v>
      </x:c>
      <x:c r="E6" s="19" t="n">
        <x:v>198358</x:v>
      </x:c>
      <x:c r="F6" s="19" t="n">
        <x:v>22401</x:v>
      </x:c>
      <x:c r="G6" s="19" t="n">
        <x:v>46065</x:v>
      </x:c>
      <x:c r="H6" s="19" t="n">
        <x:v>49131</x:v>
      </x:c>
      <x:c r="I6" s="19" t="n">
        <x:v>57418</x:v>
      </x:c>
      <x:c r="J6" s="19" t="n">
        <x:v>23343</x:v>
      </x:c>
      <x:c r="K6" s="19" t="n">
        <x:v>48829</x:v>
      </x:c>
      <x:c r="L6" s="24" t="n">
        <x:f>IF(OR(K6="",E6=""),"",K6/E6)</x:f>
        <x:v>0.2461660230492342</x:v>
      </x:c>
      <x:c r="M6" s="24" t="n">
        <x:f>IF(OR(F6="",E6=""),"",F6/E6)</x:f>
        <x:v>0.11293217314149165</x:v>
      </x:c>
      <x:c r="N6" s="24" t="n">
        <x:f>IF(OR(I6="",E6=""),"",I6/E6)</x:f>
        <x:v>0.2894665201302695</x:v>
      </x:c>
      <x:c r="O6" s="19" t="n">
        <x:v>14712</x:v>
      </x:c>
      <x:c r="P6" s="19" t="n">
        <x:v>23343</x:v>
      </x:c>
      <x:c r="Q6" s="24" t="n">
        <x:f>IF(OR(O6="",P6=""),"",O6/P6)</x:f>
        <x:v>0.6302531808250867</x:v>
      </x:c>
      <x:c r="R6" s="18" t="str">
        <x:v>Diversified / mixed duration</x:v>
      </x:c>
      <x:c r="S6" s="18" t="str">
        <x:v>Verified</x:v>
      </x:c>
      <x:c r="T6" s="18" t="str">
        <x:v>https://www.choshi-shinkin.co.jp/kigyo/disclosure/files/2025disclo-siryo.pdf</x:v>
      </x:c>
    </x:row>
    <x:row r="7">
      <x:c r="A7" s="18" t="str">
        <x:v>新湊信用金庫</x:v>
      </x:c>
      <x:c r="B7" s="18" t="str">
        <x:v>富山県</x:v>
      </x:c>
      <x:c r="C7" s="20" t="n">
        <x:v>0.32614734715430355</x:v>
      </x:c>
      <x:c r="D7" s="20" t="n">
        <x:v>0.4509</x:v>
      </x:c>
      <x:c r="E7" s="19" t="n">
        <x:v>39279</x:v>
      </x:c>
      <x:c r="F7" s="19" t="n">
        <x:v>6790</x:v>
      </x:c>
      <x:c r="G7" s="19" t="n">
        <x:v>1874</x:v>
      </x:c>
      <x:c r="H7" s="19" t="n">
        <x:v>23881</x:v>
      </x:c>
      <x:c r="I7" s="19" t="n">
        <x:v>5197</x:v>
      </x:c>
      <x:c r="J7" s="19" t="n">
        <x:v>1537</x:v>
      </x:c>
      <x:c r="K7" s="19" t="n">
        <x:v>6825</x:v>
      </x:c>
      <x:c r="L7" s="24" t="n">
        <x:f>IF(OR(K7="",E7=""),"",K7/E7)</x:f>
        <x:v>0.17375696937294738</x:v>
      </x:c>
      <x:c r="M7" s="24" t="n">
        <x:f>IF(OR(F7="",E7=""),"",F7/E7)</x:f>
        <x:v>0.17286590799154763</x:v>
      </x:c>
      <x:c r="N7" s="24" t="n">
        <x:f>IF(OR(I7="",E7=""),"",I7/E7)</x:f>
        <x:v>0.1323098856895542</x:v>
      </x:c>
      <x:c r="O7" s="19" t="n">
        <x:v>2302</x:v>
      </x:c>
      <x:c r="P7" s="19" t="n">
        <x:v>3922</x:v>
      </x:c>
      <x:c r="Q7" s="24" t="n">
        <x:f>IF(OR(O7="",P7=""),"",O7/P7)</x:f>
        <x:v>0.5869454360020397</x:v>
      </x:c>
      <x:c r="R7" s="18" t="str">
        <x:v>Corporate bonds / moderate duration</x:v>
      </x:c>
      <x:c r="S7" s="18" t="str">
        <x:v>Verified</x:v>
      </x:c>
      <x:c r="T7" s="18" t="str">
        <x:v>https://www.shinkin.co.jp/s-minato/about/data/disclosure_2025.pdf</x:v>
      </x:c>
    </x:row>
    <x:row r="8">
      <x:c r="A8" s="18" t="str">
        <x:v>敦賀信用金庫</x:v>
      </x:c>
      <x:c r="B8" s="18" t="str">
        <x:v>福井県</x:v>
      </x:c>
      <x:c r="C8" s="20" t="n">
        <x:v>0.3073870100320612</x:v>
      </x:c>
      <x:c r="D8" s="20" t="n">
        <x:v>0.509</x:v>
      </x:c>
      <x:c r="E8" s="19" t="n">
        <x:v>83383</x:v>
      </x:c>
      <x:c r="F8" s="19"/>
      <x:c r="G8" s="19"/>
      <x:c r="H8" s="19"/>
      <x:c r="I8" s="19"/>
      <x:c r="J8" s="19"/>
      <x:c r="K8" s="19"/>
      <x:c r="L8" s="24" t="str">
        <x:f>IF(OR(K8="",E8=""),"",K8/E8)</x:f>
      </x:c>
      <x:c r="M8" s="24" t="str">
        <x:f>IF(OR(F8="",E8=""),"",F8/E8)</x:f>
      </x:c>
      <x:c r="N8" s="24" t="str">
        <x:f>IF(OR(I8="",E8=""),"",I8/E8)</x:f>
      </x:c>
      <x:c r="O8" s="19" t="n">
        <x:v>5063</x:v>
      </x:c>
      <x:c r="P8" s="19" t="n">
        <x:v>8737</x:v>
      </x:c>
      <x:c r="Q8" s="24" t="n">
        <x:f>IF(OR(O8="",P8=""),"",O8/P8)</x:f>
        <x:v>0.5794895272976994</x:v>
      </x:c>
      <x:c r="R8" s="18" t="str">
        <x:v>Partial — composition pending</x:v>
      </x:c>
      <x:c r="S8" s="18" t="str">
        <x:v>Partial</x:v>
      </x:c>
      <x:c r="T8" s="18" t="str">
        <x:v>https://www.shinkin.co.jp/tsuruga/about/disc/pdf/all2025.pdf</x:v>
      </x:c>
    </x:row>
    <x:row r="9">
      <x:c r="A9" s="18" t="str">
        <x:v>大地みらい信用金庫</x:v>
      </x:c>
      <x:c r="B9" s="18" t="str">
        <x:v>北海道</x:v>
      </x:c>
      <x:c r="C9" s="20" t="n">
        <x:v>0.30239075969255597</x:v>
      </x:c>
      <x:c r="D9" s="20" t="n">
        <x:v>0.3757</x:v>
      </x:c>
      <x:c r="E9" s="19" t="n">
        <x:v>162618</x:v>
      </x:c>
      <x:c r="F9" s="19" t="n">
        <x:v>97413</x:v>
      </x:c>
      <x:c r="G9" s="19" t="n">
        <x:v>22527</x:v>
      </x:c>
      <x:c r="H9" s="19" t="n">
        <x:v>14549</x:v>
      </x:c>
      <x:c r="I9" s="19" t="n">
        <x:v>6465</x:v>
      </x:c>
      <x:c r="J9" s="19" t="n">
        <x:v>21664</x:v>
      </x:c>
      <x:c r="K9" s="19" t="n">
        <x:v>88539</x:v>
      </x:c>
      <x:c r="L9" s="24" t="n">
        <x:f>IF(OR(K9="",E9=""),"",K9/E9)</x:f>
        <x:v>0.5444600228756964</x:v>
      </x:c>
      <x:c r="M9" s="24" t="n">
        <x:f>IF(OR(F9="",E9=""),"",F9/E9)</x:f>
        <x:v>0.5990296277164889</x:v>
      </x:c>
      <x:c r="N9" s="24" t="n">
        <x:f>IF(OR(I9="",E9=""),"",I9/E9)</x:f>
        <x:v>0.039755746596317754</x:v>
      </x:c>
      <x:c r="O9" s="19" t="n">
        <x:v>16445</x:v>
      </x:c>
      <x:c r="P9" s="19" t="n">
        <x:v>30283</x:v>
      </x:c>
      <x:c r="Q9" s="24" t="n">
        <x:f>IF(OR(O9="",P9=""),"",O9/P9)</x:f>
        <x:v>0.5430439520523066</x:v>
      </x:c>
      <x:c r="R9" s="18" t="str">
        <x:v>JGB + local govt / long-duration</x:v>
      </x:c>
      <x:c r="S9" s="18" t="str">
        <x:v>Verified</x:v>
      </x:c>
      <x:c r="T9" s="18" t="str">
        <x:v>https://www.daichimirai.co.jp/company/disclosure/2025/2025_document.pdf</x:v>
      </x:c>
    </x:row>
    <x:row r="10">
      <x:c r="A10" s="18" t="str">
        <x:v>氷見伏木信用金庫</x:v>
      </x:c>
      <x:c r="B10" s="18" t="str">
        <x:v>富山県</x:v>
      </x:c>
      <x:c r="C10" s="20" t="n">
        <x:v>0.2575781189121795</x:v>
      </x:c>
      <x:c r="D10" s="20" t="n">
        <x:v>0.4815</x:v>
      </x:c>
      <x:c r="E10" s="19" t="n">
        <x:v>49435</x:v>
      </x:c>
      <x:c r="F10" s="19" t="n">
        <x:v>4664</x:v>
      </x:c>
      <x:c r="G10" s="19" t="n">
        <x:v>774</x:v>
      </x:c>
      <x:c r="H10" s="19" t="n">
        <x:v>28595</x:v>
      </x:c>
      <x:c r="I10" s="19" t="n">
        <x:v>13178</x:v>
      </x:c>
      <x:c r="J10" s="19" t="n">
        <x:v>2224</x:v>
      </x:c>
      <x:c r="K10" s="19" t="n">
        <x:v>25434</x:v>
      </x:c>
      <x:c r="L10" s="24" t="n">
        <x:f>IF(OR(K10="",E10=""),"",K10/E10)</x:f>
        <x:v>0.5144937797107313</x:v>
      </x:c>
      <x:c r="M10" s="24" t="n">
        <x:f>IF(OR(F10="",E10=""),"",F10/E10)</x:f>
        <x:v>0.0943461110549206</x:v>
      </x:c>
      <x:c r="N10" s="24" t="n">
        <x:f>IF(OR(I10="",E10=""),"",I10/E10)</x:f>
        <x:v>0.26657226661272376</x:v>
      </x:c>
      <x:c r="O10" s="19" t="n">
        <x:v>4634</x:v>
      </x:c>
      <x:c r="P10" s="19" t="n">
        <x:v>9044</x:v>
      </x:c>
      <x:c r="Q10" s="24" t="n">
        <x:f>IF(OR(O10="",P10=""),"",O10/P10)</x:f>
        <x:v>0.5123839009287926</x:v>
      </x:c>
      <x:c r="R10" s="18" t="str">
        <x:v>Corporate + foreign / long-duration</x:v>
      </x:c>
      <x:c r="S10" s="18" t="str">
        <x:v>Verified</x:v>
      </x:c>
      <x:c r="T10" s="18" t="str">
        <x:v>https://www.shinkin.co.jp/himifusi/assets/pdf/aboutus/disclosure202503.pdf</x:v>
      </x:c>
    </x:row>
    <x:row r="11">
      <x:c r="A11" s="18" t="str">
        <x:v>越前信用金庫</x:v>
      </x:c>
      <x:c r="B11" s="18" t="str">
        <x:v>福井県</x:v>
      </x:c>
      <x:c r="C11" s="20" t="n">
        <x:v>0.22639331798117263</x:v>
      </x:c>
      <x:c r="D11" s="20" t="n">
        <x:v>0.6616</x:v>
      </x:c>
      <x:c r="E11" s="19" t="n">
        <x:v>127798</x:v>
      </x:c>
      <x:c r="F11" s="19" t="n">
        <x:v>14945</x:v>
      </x:c>
      <x:c r="G11" s="19" t="n">
        <x:v>14528</x:v>
      </x:c>
      <x:c r="H11" s="19" t="n">
        <x:v>51879</x:v>
      </x:c>
      <x:c r="I11" s="19" t="n">
        <x:v>36006</x:v>
      </x:c>
      <x:c r="J11" s="19" t="n">
        <x:v>10440</x:v>
      </x:c>
      <x:c r="K11" s="19" t="n">
        <x:v>52034</x:v>
      </x:c>
      <x:c r="L11" s="24" t="n">
        <x:f>IF(OR(K11="",E11=""),"",K11/E11)</x:f>
        <x:v>0.40715817148938166</x:v>
      </x:c>
      <x:c r="M11" s="24" t="n">
        <x:f>IF(OR(F11="",E11=""),"",F11/E11)</x:f>
        <x:v>0.11694236216529211</x:v>
      </x:c>
      <x:c r="N11" s="24" t="n">
        <x:f>IF(OR(I11="",E11=""),"",I11/E11)</x:f>
        <x:v>0.28174149830200784</x:v>
      </x:c>
      <x:c r="O11" s="19" t="n">
        <x:v>8945</x:v>
      </x:c>
      <x:c r="P11" s="19" t="n">
        <x:v>17828</x:v>
      </x:c>
      <x:c r="Q11" s="24" t="n">
        <x:f>IF(OR(O11="",P11=""),"",O11/P11)</x:f>
        <x:v>0.5017388377832623</x:v>
      </x:c>
      <x:c r="R11" s="18" t="str">
        <x:v>Corporate + foreign / long-duration</x:v>
      </x:c>
      <x:c r="S11" s="18" t="str">
        <x:v>Verified</x:v>
      </x:c>
      <x:c r="T11" s="18" t="str">
        <x:v>https://www.shinkin.co.jp/echishin/assets/pdf/corporate/disclosure/disco2025.pdf</x:v>
      </x:c>
    </x:row>
    <x:row r="12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  <x:c r="L12" s="12"/>
      <x:c r="M12" s="12"/>
      <x:c r="N12" s="12"/>
      <x:c r="O12" s="12"/>
      <x:c r="P12" s="12"/>
      <x:c r="Q12" s="12"/>
      <x:c r="R12" s="12"/>
      <x:c r="S12" s="12"/>
      <x:c r="T12" s="12"/>
    </x:row>
    <x:row r="13">
      <x:c r="A13" s="103" t="str">
        <x:v>Deep Money — High-Sensitivity Cluster: Securities Composition &amp; Residual Maturity</x:v>
      </x:c>
      <x:c r="B13" s="103"/>
      <x:c r="C13" s="103"/>
      <x:c r="D13" s="103"/>
      <x:c r="E13" s="103"/>
      <x:c r="F13" s="103"/>
      <x:c r="G13" s="103"/>
      <x:c r="H13" s="103"/>
      <x:c r="I13" s="103"/>
      <x:c r="J13" s="103"/>
      <x:c r="K13" s="103"/>
      <x:c r="L13" s="103"/>
      <x:c r="M13" s="103"/>
      <x:c r="N13" s="103"/>
      <x:c r="O13" s="103"/>
      <x:c r="P13" s="103"/>
      <x:c r="Q13" s="103"/>
      <x:c r="R13" s="103"/>
      <x:c r="S13" s="103"/>
      <x:c r="T13" s="103"/>
    </x:row>
    <x:row r="14">
      <x:c r="A14" s="100" t="str">
        <x:v>Research question: Why do low-loan-to-deposit shinkin banks show radically different ΔEVE / Capital? This sheet tests whether securities mix and residual maturity explain the divergence.</x:v>
      </x:c>
      <x:c r="B14" s="100"/>
      <x:c r="C14" s="100"/>
      <x:c r="D14" s="100"/>
      <x:c r="E14" s="100"/>
      <x:c r="F14" s="100"/>
      <x:c r="G14" s="100"/>
      <x:c r="H14" s="100"/>
      <x:c r="I14" s="100"/>
      <x:c r="J14" s="100"/>
      <x:c r="K14" s="100"/>
      <x:c r="L14" s="100"/>
      <x:c r="M14" s="100"/>
      <x:c r="N14" s="100"/>
      <x:c r="O14" s="100"/>
      <x:c r="P14" s="100"/>
      <x:c r="Q14" s="100"/>
      <x:c r="R14" s="100"/>
      <x:c r="S14" s="100"/>
      <x:c r="T14" s="100"/>
    </x:row>
    <x:row r="15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  <x:c r="M15" s="12"/>
      <x:c r="N15" s="12"/>
      <x:c r="O15" s="12"/>
      <x:c r="P15" s="12"/>
      <x:c r="Q15" s="12"/>
      <x:c r="R15" s="12"/>
      <x:c r="S15" s="12"/>
      <x:c r="T15" s="12"/>
    </x:row>
    <x:row r="16">
      <x:c r="A16" s="95" t="str">
        <x:v>Structural Type</x:v>
      </x:c>
      <x:c r="B16" s="95" t="str">
        <x:v>Example</x:v>
      </x:c>
      <x:c r="C16" s="95" t="str">
        <x:v>Key Signal</x:v>
      </x:c>
      <x:c r="D16" s="95" t="str">
        <x:v>What It Suggests</x:v>
      </x:c>
      <x:c r="E16" s="95" t="str">
        <x:v>What It Does NOT Prove</x:v>
      </x:c>
      <x:c r="F16" s="95" t="str">
        <x:v>Next Check</x:v>
      </x:c>
      <x:c r="G16" s="12"/>
      <x:c r="H16" s="95" t="str">
        <x:v>Cluster Summary</x:v>
      </x:c>
      <x:c r="I16" s="95"/>
      <x:c r="J16" s="12"/>
      <x:c r="K16" s="12"/>
      <x:c r="L16" s="12"/>
      <x:c r="M16" s="12"/>
      <x:c r="N16" s="12"/>
      <x:c r="O16" s="12"/>
      <x:c r="P16" s="12"/>
      <x:c r="Q16" s="12"/>
      <x:c r="R16" s="12"/>
      <x:c r="S16" s="12"/>
      <x:c r="T16" s="12"/>
    </x:row>
    <x:row r="17">
      <x:c r="A17" s="12" t="str">
        <x:v>Ultra-long foreign-bond</x:v>
      </x:c>
      <x:c r="B17" s="12" t="str">
        <x:v>八幡信用金庫</x:v>
      </x:c>
      <x:c r="C17" s="12" t="str">
        <x:v>10Y+/Securities ≈ 99%; foreign ≈ 85%</x:v>
      </x:c>
      <x:c r="D17" s="12" t="str">
        <x:v>Duration concentration is an obvious driver candidate</x:v>
      </x:c>
      <x:c r="E17" s="12" t="str">
        <x:v>Does not isolate currency hedging or deposit-side effects</x:v>
      </x:c>
      <x:c r="F17" s="12" t="str">
        <x:v>FX hedge, funding repricing, IRRBB assumptions</x:v>
      </x:c>
      <x:c r="G17" s="12"/>
      <x:c r="H17" s="104" t="str">
        <x:v>Metric</x:v>
      </x:c>
      <x:c r="I17" s="104" t="str">
        <x:v>Value</x:v>
      </x:c>
      <x:c r="J17" s="12"/>
      <x:c r="K17" s="12"/>
      <x:c r="L17" s="12"/>
      <x:c r="M17" s="12"/>
      <x:c r="N17" s="12"/>
      <x:c r="O17" s="12"/>
      <x:c r="P17" s="12"/>
      <x:c r="Q17" s="12"/>
      <x:c r="R17" s="12"/>
      <x:c r="S17" s="12"/>
      <x:c r="T17" s="12"/>
    </x:row>
    <x:row r="18">
      <x:c r="A18" s="12" t="str">
        <x:v>Ultra-long JGB</x:v>
      </x:c>
      <x:c r="B18" s="12" t="str">
        <x:v>稚内信用金庫</x:v>
      </x:c>
      <x:c r="C18" s="12" t="str">
        <x:v>JGB ≈ 96%; 10Y+ ≈ 85%</x:v>
      </x:c>
      <x:c r="D18" s="12" t="str">
        <x:v>Domestic long-duration concentration is an obvious driver candidate</x:v>
      </x:c>
      <x:c r="E18" s="12" t="str">
        <x:v>Does not by itself imply liquidity stress</x:v>
      </x:c>
      <x:c r="F18" s="12" t="str">
        <x:v>JGB maturity ladder, valuation loss, deposit behavior</x:v>
      </x:c>
      <x:c r="G18" s="12"/>
      <x:c r="H18" s="36" t="str">
        <x:v>Institutions</x:v>
      </x:c>
      <x:c r="I18" s="12" t="n">
        <x:v>10</x:v>
      </x:c>
      <x:c r="J18" s="12"/>
      <x:c r="K18" s="12"/>
      <x:c r="L18" s="12"/>
      <x:c r="M18" s="12"/>
      <x:c r="N18" s="12"/>
      <x:c r="O18" s="12"/>
      <x:c r="P18" s="12"/>
      <x:c r="Q18" s="12"/>
      <x:c r="R18" s="12"/>
      <x:c r="S18" s="12"/>
      <x:c r="T18" s="12"/>
    </x:row>
    <x:row r="19">
      <x:c r="A19" s="12" t="str">
        <x:v>Domestic public-bond duration</x:v>
      </x:c>
      <x:c r="B19" s="12" t="str">
        <x:v>大地みらい信用金庫</x:v>
      </x:c>
      <x:c r="C19" s="12" t="str">
        <x:v>JGB + local govt dominate; 10Y+ ≈ 54%</x:v>
      </x:c>
      <x:c r="D19" s="12" t="str">
        <x:v>Public-bond duration likely matters materially</x:v>
      </x:c>
      <x:c r="E19" s="12" t="str">
        <x:v>Does not explain full EVE by itself</x:v>
      </x:c>
      <x:c r="F19" s="12" t="str">
        <x:v>Core deposit model, loan repricing, ΔNII</x:v>
      </x:c>
      <x:c r="G19" s="12"/>
      <x:c r="H19" s="36" t="str">
        <x:v>Verified composition</x:v>
      </x:c>
      <x:c r="I19" s="12" t="n">
        <x:v>9</x:v>
      </x:c>
      <x:c r="J19" s="12"/>
      <x:c r="K19" s="12"/>
      <x:c r="L19" s="12"/>
      <x:c r="M19" s="12"/>
      <x:c r="N19" s="12"/>
      <x:c r="O19" s="12"/>
      <x:c r="P19" s="12"/>
      <x:c r="Q19" s="12"/>
      <x:c r="R19" s="12"/>
      <x:c r="S19" s="12"/>
      <x:c r="T19" s="12"/>
    </x:row>
    <x:row r="20">
      <x:c r="A20" s="12" t="str">
        <x:v>Low 10Y+ but high EVE</x:v>
      </x:c>
      <x:c r="B20" s="12" t="str">
        <x:v>伊達信用金庫</x:v>
      </x:c>
      <x:c r="C20" s="12" t="str">
        <x:v>10Y+/Securities ≈ 2%; ΔEVE/Capital ≈ 63%</x:v>
      </x:c>
      <x:c r="D20" s="12" t="str">
        <x:v>Bond residual maturity alone cannot explain EVE</x:v>
      </x:c>
      <x:c r="E20" s="12" t="str">
        <x:v>Does not invalidate duration risk elsewhere</x:v>
      </x:c>
      <x:c r="F20" s="12" t="str">
        <x:v>Full asset-liability repricing gap, core deposits</x:v>
      </x:c>
      <x:c r="G20" s="12"/>
      <x:c r="H20" s="36" t="str">
        <x:v>Partial composition</x:v>
      </x:c>
      <x:c r="I20" s="12" t="n">
        <x:v>1</x:v>
      </x:c>
      <x:c r="J20" s="12"/>
      <x:c r="K20" s="12"/>
      <x:c r="L20" s="12"/>
      <x:c r="M20" s="12"/>
      <x:c r="N20" s="12"/>
      <x:c r="O20" s="12"/>
      <x:c r="P20" s="12"/>
      <x:c r="Q20" s="12"/>
      <x:c r="R20" s="12"/>
      <x:c r="S20" s="12"/>
      <x:c r="T20" s="12"/>
    </x:row>
    <x:row r="21">
      <x:c r="A21" s="12" t="str">
        <x:v>Mixed duration but high EVE</x:v>
      </x:c>
      <x:c r="B21" s="12" t="str">
        <x:v>銚子信用金庫</x:v>
      </x:c>
      <x:c r="C21" s="12" t="str">
        <x:v>10Y+/Securities ≈ 25%; ΔEVE/Capital ≈ 63%</x:v>
      </x:c>
      <x:c r="D21" s="12" t="str">
        <x:v>Capital size / ALM structure matter alongside bond duration</x:v>
      </x:c>
      <x:c r="E21" s="12" t="str">
        <x:v>Does not identify a single causal asset class</x:v>
      </x:c>
      <x:c r="F21" s="12" t="str">
        <x:v>Deposit beta, loan repricing, securities valuation</x:v>
      </x:c>
      <x:c r="G21" s="12"/>
      <x:c r="H21" s="36" t="str">
        <x:v>Median ΔEVE/Capital</x:v>
      </x:c>
      <x:c r="I21" s="16" t="n">
        <x:f>MEDIAN(Q2:Q11)</x:f>
        <x:v>0.6085993084135632</x:v>
      </x:c>
      <x:c r="J21" s="12"/>
      <x:c r="K21" s="12"/>
      <x:c r="L21" s="12"/>
      <x:c r="M21" s="12"/>
      <x:c r="N21" s="12"/>
      <x:c r="O21" s="12"/>
      <x:c r="P21" s="12"/>
      <x:c r="Q21" s="12"/>
      <x:c r="R21" s="12"/>
      <x:c r="S21" s="12"/>
      <x:c r="T21" s="12"/>
    </x:row>
    <x:row r="22">
      <x:c r="A22" s="12"/>
      <x:c r="B22" s="12"/>
      <x:c r="C22" s="12"/>
      <x:c r="D22" s="12"/>
      <x:c r="E22" s="12"/>
      <x:c r="F22" s="12"/>
      <x:c r="G22" s="12"/>
      <x:c r="H22" s="36" t="str">
        <x:v>Median 10Y+/Securities</x:v>
      </x:c>
      <x:c r="I22" s="16" t="n">
        <x:f>MEDIAN(L2:L11)</x:f>
        <x:v>0.40715817148938166</x:v>
      </x:c>
      <x:c r="J22" s="12"/>
      <x:c r="K22" s="12"/>
      <x:c r="L22" s="12"/>
      <x:c r="M22" s="12"/>
      <x:c r="N22" s="12"/>
      <x:c r="O22" s="12"/>
      <x:c r="P22" s="12"/>
      <x:c r="Q22" s="12"/>
      <x:c r="R22" s="12"/>
      <x:c r="S22" s="12"/>
      <x:c r="T22" s="12"/>
    </x:row>
    <x:row r="23">
      <x:c r="A23" s="12"/>
      <x:c r="B23" s="12"/>
      <x:c r="C23" s="12"/>
      <x:c r="D23" s="12"/>
      <x:c r="E23" s="12"/>
      <x:c r="F23" s="12"/>
      <x:c r="G23" s="12"/>
      <x:c r="H23" s="36" t="str">
        <x:v>&gt;=50% 10Y+/Securities</x:v>
      </x:c>
      <x:c r="I23" s="12" t="n">
        <x:f>COUNTIF(L2:L11,"&gt;=0.5")</x:f>
        <x:v>4</x:v>
      </x:c>
      <x:c r="J23" s="12"/>
      <x:c r="K23" s="12"/>
      <x:c r="L23" s="12"/>
      <x:c r="M23" s="12"/>
      <x:c r="N23" s="12"/>
      <x:c r="O23" s="12"/>
      <x:c r="P23" s="12"/>
      <x:c r="Q23" s="12"/>
      <x:c r="R23" s="12"/>
      <x:c r="S23" s="12"/>
      <x:c r="T23" s="12"/>
    </x:row>
  </x:sheetData>
  <x:mergeCells>
    <x:mergeCell ref="A13:T13"/>
    <x:mergeCell ref="A14:T14"/>
    <x:mergeCell ref="H16:I16"/>
  </x:mergeCells>
  <x:conditionalFormatting sqref="Q2:Q11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conditionalFormatting sqref="L2:L11">
    <x:cfRule type="colorScale" priority="2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conditionalFormatting sqref="S2:S11">
    <x:cfRule type="expression" dxfId="6" priority="3">
      <x:formula>S2="Partial"</x:formula>
    </x:cfRule>
    <x:cfRule type="expression" dxfId="7" priority="4">
      <x:formula>S2="Verified"</x:formula>
    </x:cfRule>
  </x:conditionalFormatting>
  <x:pageMargins left="0.7" right="0.7" top="0.75" bottom="0.75" header="0.3" footer="0.3"/>
  <x:drawing xmlns:r="http://schemas.openxmlformats.org/officeDocument/2006/relationships" r:id="Rcac65938c0234f8d"/>
</x:worksheet>
</file>

<file path=xl/worksheets/sheet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4" hidden="0" customWidth="1"/>
    <x:col min="3" max="3" width="15" hidden="0" customWidth="1"/>
    <x:col min="4" max="4" width="19" hidden="0" customWidth="1"/>
    <x:col min="5" max="5" width="20" hidden="0" customWidth="1"/>
    <x:col min="6" max="6" width="16" hidden="0" customWidth="1"/>
    <x:col min="7" max="7" width="18" hidden="0" customWidth="1"/>
    <x:col min="8" max="8" width="20" hidden="0" customWidth="1"/>
    <x:col min="9" max="9" width="20" hidden="0" customWidth="1"/>
    <x:col min="10" max="10" width="23" hidden="0" customWidth="1"/>
    <x:col min="11" max="11" width="18" hidden="0" customWidth="1"/>
    <x:col min="12" max="12" width="19" hidden="0" customWidth="1"/>
    <x:col min="13" max="13" width="19" hidden="0" customWidth="1"/>
    <x:col min="14" max="14" width="18" hidden="0" customWidth="1"/>
    <x:col min="15" max="15" width="20" hidden="0" customWidth="1"/>
    <x:col min="16" max="16" width="18" hidden="0" customWidth="1"/>
    <x:col min="17" max="17" width="18" hidden="0" customWidth="1"/>
    <x:col min="18" max="18" width="17" hidden="0" customWidth="1"/>
    <x:col min="19" max="19" width="20" hidden="0" customWidth="1"/>
    <x:col min="20" max="20" width="19" hidden="0" customWidth="1"/>
    <x:col min="21" max="21" width="18" hidden="0" customWidth="1"/>
    <x:col min="22" max="22" width="18" hidden="0" customWidth="1"/>
    <x:col min="23" max="23" width="18" hidden="0" customWidth="1"/>
    <x:col min="24" max="24" width="16" hidden="0" customWidth="1"/>
    <x:col min="25" max="25" width="52" hidden="0" customWidth="1"/>
    <x:col min="26" max="26" width="58" hidden="0" customWidth="1"/>
  </x:cols>
  <x:sheetData>
    <x:row r="1">
      <x:c r="A1" s="110" t="str">
        <x:v>Institution</x:v>
      </x:c>
      <x:c r="B1" s="110" t="str">
        <x:v>Reference Date</x:v>
      </x:c>
      <x:c r="C1" s="110" t="str">
        <x:v>Loans (JPY mm)</x:v>
      </x:c>
      <x:c r="D1" s="110" t="str">
        <x:v>Fixed-rate Loans (JPY mm)</x:v>
      </x:c>
      <x:c r="E1" s="110" t="str">
        <x:v>Variable-rate Loans (JPY mm)</x:v>
      </x:c>
      <x:c r="F1" s="110" t="str">
        <x:v>Fixed Loans / Loans</x:v>
      </x:c>
      <x:c r="G1" s="110" t="str">
        <x:v>Avg Deposits (JPY mm)</x:v>
      </x:c>
      <x:c r="H1" s="110" t="str">
        <x:v>Avg Liquid Deposits (JPY mm)</x:v>
      </x:c>
      <x:c r="I1" s="110" t="str">
        <x:v>Liquid Deposits / Avg Deposits</x:v>
      </x:c>
      <x:c r="J1" s="110" t="str">
        <x:v>Fixed-rate Term Deposits (JPY mm)</x:v>
      </x:c>
      <x:c r="K1" s="110" t="str">
        <x:v>Fixed Term / Avg Deposits</x:v>
      </x:c>
      <x:c r="L1" s="110" t="str">
        <x:v>Core Deposit Avg Maturity (Years)</x:v>
      </x:c>
      <x:c r="M1" s="110" t="str">
        <x:v>Core Deposit Max Maturity (Years)</x:v>
      </x:c>
      <x:c r="N1" s="110" t="str">
        <x:v>Securities EOP (JPY mm)</x:v>
      </x:c>
      <x:c r="O1" s="110" t="str">
        <x:v>10Y+ Securities (JPY mm)</x:v>
      </x:c>
      <x:c r="P1" s="110" t="str">
        <x:v>10Y+ / Securities</x:v>
      </x:c>
      <x:c r="Q1" s="110" t="str">
        <x:v>ΔEVE Current (JPY mm)</x:v>
      </x:c>
      <x:c r="R1" s="110" t="str">
        <x:v>ΔEVE Prior (JPY mm)</x:v>
      </x:c>
      <x:c r="S1" s="110" t="str">
        <x:v>IRRBB Capital Current (JPY mm)</x:v>
      </x:c>
      <x:c r="T1" s="110" t="str">
        <x:v>IRRBB Capital Prior (JPY mm)</x:v>
      </x:c>
      <x:c r="U1" s="110" t="str">
        <x:v>ΔEVE / Capital Current</x:v>
      </x:c>
      <x:c r="V1" s="110" t="str">
        <x:v>ΔEVE / Capital Prior</x:v>
      </x:c>
      <x:c r="W1" s="110" t="str">
        <x:v>ΔNII Current (JPY mm)</x:v>
      </x:c>
      <x:c r="X1" s="110" t="str">
        <x:v>ΔNII / Capital</x:v>
      </x:c>
      <x:c r="Y1" s="110" t="str">
        <x:v>Primary Driver Hypothesis</x:v>
      </x:c>
      <x:c r="Z1" s="110" t="str">
        <x:v>Primary Source</x:v>
      </x:c>
    </x:row>
    <x:row r="2">
      <x:c r="A2" s="18" t="str">
        <x:v>伊達信用金庫</x:v>
      </x:c>
      <x:c r="B2" s="18" t="str">
        <x:v>2025-03-31</x:v>
      </x:c>
      <x:c r="C2" s="19" t="n">
        <x:v>54630</x:v>
      </x:c>
      <x:c r="D2" s="19" t="n">
        <x:v>40060</x:v>
      </x:c>
      <x:c r="E2" s="19" t="n">
        <x:v>14570</x:v>
      </x:c>
      <x:c r="F2" s="24" t="n">
        <x:f>IFERROR(D2/C2,"")</x:f>
        <x:v>0.7332967234120447</x:v>
      </x:c>
      <x:c r="G2" s="19" t="n">
        <x:v>175190</x:v>
      </x:c>
      <x:c r="H2" s="19" t="n">
        <x:v>109263</x:v>
      </x:c>
      <x:c r="I2" s="24" t="n">
        <x:f>IFERROR(H2/G2,"")</x:f>
        <x:v>0.6236828586106513</x:v>
      </x:c>
      <x:c r="J2" s="19" t="n">
        <x:v>63230</x:v>
      </x:c>
      <x:c r="K2" s="24" t="n">
        <x:f>IFERROR(J2/G2,"")</x:f>
        <x:v>0.36092242707917116</x:v>
      </x:c>
      <x:c r="L2" s="115" t="n">
        <x:v>1.25</x:v>
      </x:c>
      <x:c r="M2" s="115" t="n">
        <x:v>2.5</x:v>
      </x:c>
      <x:c r="N2" s="19" t="n">
        <x:v>44803</x:v>
      </x:c>
      <x:c r="O2" s="19" t="n">
        <x:v>1011</x:v>
      </x:c>
      <x:c r="P2" s="24" t="n">
        <x:f>IFERROR(O2/N2,"")</x:f>
        <x:v>0.02256545320625851</x:v>
      </x:c>
      <x:c r="Q2" s="19" t="n">
        <x:v>4162</x:v>
      </x:c>
      <x:c r="R2" s="19" t="n">
        <x:v>4647</x:v>
      </x:c>
      <x:c r="S2" s="19" t="n">
        <x:v>6598</x:v>
      </x:c>
      <x:c r="T2" s="19" t="n">
        <x:v>6444</x:v>
      </x:c>
      <x:c r="U2" s="24" t="n">
        <x:f>IFERROR(Q2/S2,"")</x:f>
        <x:v>0.6307972112761443</x:v>
      </x:c>
      <x:c r="V2" s="24" t="n">
        <x:f>IFERROR(R2/T2,"")</x:f>
        <x:v>0.7211359404096834</x:v>
      </x:c>
      <x:c r="W2" s="19" t="n">
        <x:v>173</x:v>
      </x:c>
      <x:c r="X2" s="24" t="n">
        <x:f>IFERROR(W2/S2,"")</x:f>
        <x:v>0.02622006668687481</x:v>
      </x:c>
      <x:c r="Y2" s="18" t="str">
        <x:v>High EVE despite little 10Y+ securities: fixed-rate loans are ~73% of loans, while modeled liquid-deposit repricing is much shorter. Full ALM mismatch is the likely driver, not bond duration alone.</x:v>
      </x:c>
      <x:c r="Z2" s="18" t="str">
        <x:v>https://www.shinkin.co.jp/dateshin/common/asset/data/pdf/report2025.pdf</x:v>
      </x:c>
    </x:row>
    <x:row r="3">
      <x:c r="A3" s="18" t="str">
        <x:v>銚子信用金庫</x:v>
      </x:c>
      <x:c r="B3" s="18" t="str">
        <x:v>2025-03-31</x:v>
      </x:c>
      <x:c r="C3" s="19" t="n">
        <x:v>167281</x:v>
      </x:c>
      <x:c r="D3" s="19" t="n">
        <x:v>100644</x:v>
      </x:c>
      <x:c r="E3" s="19" t="n">
        <x:v>66637</x:v>
      </x:c>
      <x:c r="F3" s="24" t="n">
        <x:f>IFERROR(D3/C3,"")</x:f>
        <x:v>0.6016463316216426</x:v>
      </x:c>
      <x:c r="G3" s="19" t="n">
        <x:v>523797</x:v>
      </x:c>
      <x:c r="H3" s="19" t="n">
        <x:v>293627</x:v>
      </x:c>
      <x:c r="I3" s="24" t="n">
        <x:f>IFERROR(H3/G3,"")</x:f>
        <x:v>0.5605740391793004</x:v>
      </x:c>
      <x:c r="J3" s="19" t="n">
        <x:v>230145</x:v>
      </x:c>
      <x:c r="K3" s="24" t="n">
        <x:f>IFERROR(J3/G3,"")</x:f>
        <x:v>0.4393782324068294</x:v>
      </x:c>
      <x:c r="L3" s="115" t="n">
        <x:v>1.3125</x:v>
      </x:c>
      <x:c r="M3" s="115" t="n">
        <x:v>5</x:v>
      </x:c>
      <x:c r="N3" s="19" t="n">
        <x:v>198358</x:v>
      </x:c>
      <x:c r="O3" s="19" t="n">
        <x:v>48829</x:v>
      </x:c>
      <x:c r="P3" s="24" t="n">
        <x:f>IFERROR(O3/N3,"")</x:f>
        <x:v>0.2461660230492342</x:v>
      </x:c>
      <x:c r="Q3" s="19" t="n">
        <x:v>14712</x:v>
      </x:c>
      <x:c r="R3" s="19" t="n">
        <x:v>15096</x:v>
      </x:c>
      <x:c r="S3" s="19" t="n">
        <x:v>23343</x:v>
      </x:c>
      <x:c r="T3" s="19" t="n">
        <x:v>22115</x:v>
      </x:c>
      <x:c r="U3" s="24" t="n">
        <x:f>IFERROR(Q3/S3,"")</x:f>
        <x:v>0.6302531808250867</x:v>
      </x:c>
      <x:c r="V3" s="24" t="n">
        <x:f>IFERROR(R3/T3,"")</x:f>
        <x:v>0.68261361067149</x:v>
      </x:c>
      <x:c r="W3" s="19" t="n">
        <x:v>565</x:v>
      </x:c>
      <x:c r="X3" s="24" t="n">
        <x:f>IFERROR(W3/S3,"")</x:f>
        <x:v>0.02420425823587371</x:v>
      </x:c>
      <x:c r="Y3" s="18" t="str">
        <x:v>Mixed driver: ~60% fixed-rate loans, a large securities book, and modeled core deposits. High EVE is balance-sheet-wide rather than a single long-bond position.</x:v>
      </x:c>
      <x:c r="Z3" s="18" t="str">
        <x:v>https://www.choshi-shinkin.co.jp/kigyo/disclosure/files/2025disclo-siryo.pdf</x:v>
      </x:c>
    </x:row>
    <x:row r="4">
      <x:c r="A4" s="18" t="str">
        <x:v>新湊信用金庫</x:v>
      </x:c>
      <x:c r="B4" s="18" t="str">
        <x:v>2025-03-31</x:v>
      </x:c>
      <x:c r="C4" s="19" t="n">
        <x:v>28412</x:v>
      </x:c>
      <x:c r="D4" s="19" t="n">
        <x:v>11684</x:v>
      </x:c>
      <x:c r="E4" s="19" t="n">
        <x:v>16728</x:v>
      </x:c>
      <x:c r="F4" s="24" t="n">
        <x:f>IFERROR(D4/C4,"")</x:f>
        <x:v>0.41123468956778825</x:v>
      </x:c>
      <x:c r="G4" s="19" t="n">
        <x:v>88359</x:v>
      </x:c>
      <x:c r="H4" s="19" t="n">
        <x:v>33328</x:v>
      </x:c>
      <x:c r="I4" s="24" t="n">
        <x:f>IFERROR(H4/G4,"")</x:f>
        <x:v>0.3771885150352539</x:v>
      </x:c>
      <x:c r="J4" s="19" t="n">
        <x:v>54842</x:v>
      </x:c>
      <x:c r="K4" s="24" t="n">
        <x:f>IFERROR(J4/G4,"")</x:f>
        <x:v>0.620672483844317</x:v>
      </x:c>
      <x:c r="L4" s="115" t="n">
        <x:v>1.25</x:v>
      </x:c>
      <x:c r="M4" s="115" t="n">
        <x:v>5</x:v>
      </x:c>
      <x:c r="N4" s="19" t="n">
        <x:v>39279</x:v>
      </x:c>
      <x:c r="O4" s="19" t="n">
        <x:v>6825</x:v>
      </x:c>
      <x:c r="P4" s="24" t="n">
        <x:f>IFERROR(O4/N4,"")</x:f>
        <x:v>0.17375696937294738</x:v>
      </x:c>
      <x:c r="Q4" s="19" t="n">
        <x:v>2302</x:v>
      </x:c>
      <x:c r="R4" s="19" t="n">
        <x:v>3119</x:v>
      </x:c>
      <x:c r="S4" s="19" t="n">
        <x:v>3922</x:v>
      </x:c>
      <x:c r="T4" s="19" t="n">
        <x:v>5791</x:v>
      </x:c>
      <x:c r="U4" s="24" t="n">
        <x:f>IFERROR(Q4/S4,"")</x:f>
        <x:v>0.5869454360020397</x:v>
      </x:c>
      <x:c r="V4" s="24" t="n">
        <x:f>IFERROR(R4/T4,"")</x:f>
        <x:v>0.5385943705750302</x:v>
      </x:c>
      <x:c r="W4" s="19" t="n">
        <x:v>195</x:v>
      </x:c>
      <x:c r="X4" s="24" t="n">
        <x:f>IFERROR(W4/S4,"")</x:f>
        <x:v>0.049719530851606325</x:v>
      </x:c>
      <x:c r="Y4" s="18" t="str">
        <x:v>Unlike Date, variable-rate loans dominate. The current high EVE/Capital ratio is partly a denominator story: ΔEVE fell, but IRRBB capital fell even faster.</x:v>
      </x:c>
      <x:c r="Z4" s="18" t="str">
        <x:v>https://www.shinkin.co.jp/s-minato/about/data/disclosure_2025.pdf</x:v>
      </x:c>
    </x:row>
    <x:row r="5">
      <x:c r="A5" s="12"/>
      <x:c r="B5" s="12"/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2"/>
      <x:c r="Z5" s="12"/>
    </x:row>
    <x:row r="6">
      <x:c r="A6" s="116" t="str">
        <x:v>Deep Money — Why High ΔEVE Can Exist Without an Ultra-Long Bond Book</x:v>
      </x:c>
      <x:c r="B6" s="116"/>
      <x:c r="C6" s="116"/>
      <x:c r="D6" s="116"/>
      <x:c r="E6" s="116"/>
      <x:c r="F6" s="116"/>
      <x:c r="G6" s="116"/>
      <x:c r="H6" s="116"/>
      <x:c r="I6" s="116"/>
      <x:c r="J6" s="116"/>
      <x:c r="K6" s="116"/>
      <x:c r="L6" s="116"/>
      <x:c r="M6" s="116"/>
      <x:c r="N6" s="116"/>
      <x:c r="O6" s="116"/>
      <x:c r="P6" s="116"/>
      <x:c r="Q6" s="116"/>
      <x:c r="R6" s="116"/>
      <x:c r="S6" s="116"/>
      <x:c r="T6" s="116"/>
      <x:c r="U6" s="116"/>
      <x:c r="V6" s="116"/>
      <x:c r="W6" s="116"/>
      <x:c r="X6" s="116"/>
      <x:c r="Y6" s="116"/>
      <x:c r="Z6" s="116"/>
    </x:row>
    <x:row r="7">
      <x:c r="A7" s="113" t="str">
        <x:v>Finding: Date, Choshi, and Shinminato all show high ΔEVE/Capital, but the mechanism is different. The decisive layer is ALM: fixed/variable loan repricing, modeled deposit maturity, securities duration, and the size of the capital denominator.</x:v>
      </x:c>
      <x:c r="B7" s="113"/>
      <x:c r="C7" s="113"/>
      <x:c r="D7" s="113"/>
      <x:c r="E7" s="113"/>
      <x:c r="F7" s="113"/>
      <x:c r="G7" s="113"/>
      <x:c r="H7" s="113"/>
      <x:c r="I7" s="113"/>
      <x:c r="J7" s="113"/>
      <x:c r="K7" s="113"/>
      <x:c r="L7" s="113"/>
      <x:c r="M7" s="113"/>
      <x:c r="N7" s="113"/>
      <x:c r="O7" s="113"/>
      <x:c r="P7" s="113"/>
      <x:c r="Q7" s="113"/>
      <x:c r="R7" s="113"/>
      <x:c r="S7" s="113"/>
      <x:c r="T7" s="113"/>
      <x:c r="U7" s="113"/>
      <x:c r="V7" s="113"/>
      <x:c r="W7" s="113"/>
      <x:c r="X7" s="113"/>
      <x:c r="Y7" s="113"/>
      <x:c r="Z7" s="113"/>
    </x:row>
    <x:row r="8">
      <x:c r="A8" s="12"/>
      <x:c r="B8" s="12"/>
      <x:c r="C8" s="12"/>
      <x:c r="D8" s="12"/>
      <x:c r="E8" s="12"/>
      <x:c r="F8" s="12"/>
      <x:c r="G8" s="12"/>
      <x:c r="H8" s="12"/>
      <x:c r="I8" s="12"/>
      <x:c r="J8" s="12"/>
      <x:c r="K8" s="12"/>
      <x:c r="L8" s="12"/>
      <x:c r="M8" s="12"/>
      <x:c r="N8" s="12"/>
      <x:c r="O8" s="12"/>
      <x:c r="P8" s="12"/>
      <x:c r="Q8" s="12"/>
      <x:c r="R8" s="12"/>
      <x:c r="S8" s="12"/>
      <x:c r="T8" s="12"/>
      <x:c r="U8" s="12"/>
      <x:c r="V8" s="12"/>
      <x:c r="W8" s="12"/>
      <x:c r="X8" s="12"/>
      <x:c r="Y8" s="12"/>
      <x:c r="Z8" s="12"/>
    </x:row>
    <x:row r="9">
      <x:c r="A9" s="109" t="str">
        <x:v>Institution</x:v>
      </x:c>
      <x:c r="B9" s="109" t="str">
        <x:v>Key Mechanical Fact</x:v>
      </x:c>
      <x:c r="C9" s="109" t="str">
        <x:v>ΔEVE Direction</x:v>
      </x:c>
      <x:c r="D9" s="109" t="str">
        <x:v>Capital Effect</x:v>
      </x:c>
      <x:c r="E9" s="109" t="str">
        <x:v>Interpretation</x:v>
      </x:c>
      <x:c r="F9" s="109" t="str">
        <x:v>Next Evidence</x:v>
      </x:c>
      <x:c r="G9" s="12"/>
      <x:c r="H9" s="109" t="str">
        <x:v>Institution</x:v>
      </x:c>
      <x:c r="I9" s="109" t="str">
        <x:v>Prior ΔEVE/Cap</x:v>
      </x:c>
      <x:c r="J9" s="109" t="str">
        <x:v>Current ΔEVE/Cap</x:v>
      </x:c>
      <x:c r="K9" s="109" t="str">
        <x:v>ΔEVE Change</x:v>
      </x:c>
      <x:c r="L9" s="109" t="str">
        <x:v>Capital Change</x:v>
      </x:c>
      <x:c r="M9" s="109" t="str">
        <x:v>Ratio Change</x:v>
      </x:c>
      <x:c r="N9" s="12"/>
      <x:c r="O9" s="12"/>
      <x:c r="P9" s="12"/>
      <x:c r="Q9" s="12"/>
      <x:c r="R9" s="12"/>
      <x:c r="S9" s="12"/>
      <x:c r="T9" s="12"/>
      <x:c r="U9" s="12"/>
      <x:c r="V9" s="12"/>
      <x:c r="W9" s="12"/>
      <x:c r="X9" s="12"/>
      <x:c r="Y9" s="12"/>
      <x:c r="Z9" s="12"/>
    </x:row>
    <x:row r="10">
      <x:c r="A10" s="12" t="str">
        <x:v>伊達信用金庫</x:v>
      </x:c>
      <x:c r="B10" s="12" t="str">
        <x:v>Fixed-rate loans ≈73%; 10Y+ securities only ≈2%</x:v>
      </x:c>
      <x:c r="C10" s="12" t="str">
        <x:v>ΔEVE fell from 4,647 to 4,162</x:v>
      </x:c>
      <x:c r="D10" s="12" t="str">
        <x:v>Capital rose from 6,444 to 6,598</x:v>
      </x:c>
      <x:c r="E10" s="12" t="str">
        <x:v>High EVE is not a long-bond story. Asset-liability repricing mismatch is the stronger candidate.</x:v>
      </x:c>
      <x:c r="F10" s="12" t="str">
        <x:v>Loan maturity ladder; deposit repricing buckets; 100BPV / gap table</x:v>
      </x:c>
      <x:c r="G10" s="12"/>
      <x:c r="H10" s="12" t="str">
        <x:v>伊達信用金庫</x:v>
      </x:c>
      <x:c r="I10" s="16" t="n">
        <x:f>V2</x:f>
        <x:v>0.7211359404096834</x:v>
      </x:c>
      <x:c r="J10" s="16" t="n">
        <x:f>U2</x:f>
        <x:v>0.6307972112761443</x:v>
      </x:c>
      <x:c r="K10" s="16" t="n">
        <x:f>IFERROR(Q2/R2-1,"")</x:f>
        <x:v>-0.10436840972670536</x:v>
      </x:c>
      <x:c r="L10" s="16" t="n">
        <x:f>IFERROR(S2/T2-1,"")</x:f>
        <x:v>0.0238981998758534</x:v>
      </x:c>
      <x:c r="M10" s="16" t="n">
        <x:f>IFERROR(U2-V2,"")</x:f>
        <x:v>-0.09033872913353913</x:v>
      </x:c>
      <x:c r="N10" s="12"/>
      <x:c r="O10" s="12"/>
      <x:c r="P10" s="12"/>
      <x:c r="Q10" s="12"/>
      <x:c r="R10" s="12"/>
      <x:c r="S10" s="12"/>
      <x:c r="T10" s="12"/>
      <x:c r="U10" s="12"/>
      <x:c r="V10" s="12"/>
      <x:c r="W10" s="12"/>
      <x:c r="X10" s="12"/>
      <x:c r="Y10" s="12"/>
      <x:c r="Z10" s="12"/>
    </x:row>
    <x:row r="11">
      <x:c r="A11" s="12" t="str">
        <x:v>銚子信用金庫</x:v>
      </x:c>
      <x:c r="B11" s="12" t="str">
        <x:v>Fixed-rate loans ≈60%; securities ≈198bn; core-deposit avg maturity 1.31y</x:v>
      </x:c>
      <x:c r="C11" s="12" t="str">
        <x:v>ΔEVE fell from 15,096 to 14,712</x:v>
      </x:c>
      <x:c r="D11" s="12" t="str">
        <x:v>Capital rose from 22,115 to 23,343</x:v>
      </x:c>
      <x:c r="E11" s="12" t="str">
        <x:v>A mixed ALM structure: loan duration + securities + modeled deposits all contribute.</x:v>
      </x:c>
      <x:c r="F11" s="12" t="str">
        <x:v>100BPV; securities duration by class; valuation losses; deposit beta</x:v>
      </x:c>
      <x:c r="G11" s="12"/>
      <x:c r="H11" s="12" t="str">
        <x:v>銚子信用金庫</x:v>
      </x:c>
      <x:c r="I11" s="16" t="n">
        <x:f>V3</x:f>
        <x:v>0.68261361067149</x:v>
      </x:c>
      <x:c r="J11" s="16" t="n">
        <x:f>U3</x:f>
        <x:v>0.6302531808250867</x:v>
      </x:c>
      <x:c r="K11" s="16" t="n">
        <x:f>IFERROR(Q3/R3-1,"")</x:f>
        <x:v>-0.025437201907790197</x:v>
      </x:c>
      <x:c r="L11" s="16" t="n">
        <x:f>IFERROR(S3/T3-1,"")</x:f>
        <x:v>0.05552792222473424</x:v>
      </x:c>
      <x:c r="M11" s="16" t="n">
        <x:f>IFERROR(U3-V3,"")</x:f>
        <x:v>-0.05236042984640321</x:v>
      </x:c>
      <x:c r="N11" s="12"/>
      <x:c r="O11" s="12"/>
      <x:c r="P11" s="12"/>
      <x:c r="Q11" s="12"/>
      <x:c r="R11" s="12"/>
      <x:c r="S11" s="12"/>
      <x:c r="T11" s="12"/>
      <x:c r="U11" s="12"/>
      <x:c r="V11" s="12"/>
      <x:c r="W11" s="12"/>
      <x:c r="X11" s="12"/>
      <x:c r="Y11" s="12"/>
      <x:c r="Z11" s="12"/>
    </x:row>
    <x:row r="12">
      <x:c r="A12" s="12" t="str">
        <x:v>新湊信用金庫</x:v>
      </x:c>
      <x:c r="B12" s="12" t="str">
        <x:v>Variable-rate loans ≈59%; 10Y+ securities ≈17%</x:v>
      </x:c>
      <x:c r="C12" s="12" t="str">
        <x:v>ΔEVE fell from 3,119 to 2,302</x:v>
      </x:c>
      <x:c r="D12" s="12" t="str">
        <x:v>Capital fell from 5,791 to 3,922</x:v>
      </x:c>
      <x:c r="E12" s="12" t="str">
        <x:v>The ratio worsened despite lower EVE because the capital denominator contracted sharply.</x:v>
      </x:c>
      <x:c r="F12" s="12" t="str">
        <x:v>Why capital fell; profit/loss bridge; securities valuation; capital recovery capacity</x:v>
      </x:c>
      <x:c r="G12" s="12"/>
      <x:c r="H12" s="12" t="str">
        <x:v>新湊信用金庫</x:v>
      </x:c>
      <x:c r="I12" s="16" t="n">
        <x:f>V4</x:f>
        <x:v>0.5385943705750302</x:v>
      </x:c>
      <x:c r="J12" s="16" t="n">
        <x:f>U4</x:f>
        <x:v>0.5869454360020397</x:v>
      </x:c>
      <x:c r="K12" s="16" t="n">
        <x:f>IFERROR(Q4/R4-1,"")</x:f>
        <x:v>-0.2619429304264187</x:v>
      </x:c>
      <x:c r="L12" s="16" t="n">
        <x:f>IFERROR(S4/T4-1,"")</x:f>
        <x:v>-0.32274218615092387</x:v>
      </x:c>
      <x:c r="M12" s="16" t="n">
        <x:f>IFERROR(U4-V4,"")</x:f>
        <x:v>0.04835106542700951</x:v>
      </x:c>
      <x:c r="N12" s="12"/>
      <x:c r="O12" s="12"/>
      <x:c r="P12" s="12"/>
      <x:c r="Q12" s="12"/>
      <x:c r="R12" s="12"/>
      <x:c r="S12" s="12"/>
      <x:c r="T12" s="12"/>
      <x:c r="U12" s="12"/>
      <x:c r="V12" s="12"/>
      <x:c r="W12" s="12"/>
      <x:c r="X12" s="12"/>
      <x:c r="Y12" s="12"/>
      <x:c r="Z12" s="12"/>
    </x:row>
  </x:sheetData>
  <x:mergeCells>
    <x:mergeCell ref="A6:Z6"/>
    <x:mergeCell ref="A7:Z7"/>
  </x:mergeCells>
  <x:conditionalFormatting sqref="U2:U4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conditionalFormatting sqref="F2:F4">
    <x:cfRule type="dataBar" priority="2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{48C78337-B3BA-A67A-C20C-3AD5DFB007ED}</x14:id>
        </x:ext>
      </x:extLst>
    </x:cfRule>
  </x:conditionalFormatting>
  <x:conditionalFormatting sqref="M10:M12">
    <x:cfRule type="colorScale" priority="3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pageMargins left="0.7" right="0.7" top="0.75" bottom="0.75" header="0.3" footer="0.3"/>
  <x:drawing xmlns:r="http://schemas.openxmlformats.org/officeDocument/2006/relationships" r:id="Rec8688bb705047fa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48C78337-B3BA-A67A-C20C-3AD5DFB007ED}">
            <x14:dataBar gradient="1">
              <x14:cfvo type="min"/>
              <x14:cfvo type="max"/>
              <x14:fillColor rgb="FFA02B93"/>
            </x14:dataBar>
          </x14:cfRule>
          <xm:sqref>F2:F4</xm:sqref>
        </x14:conditionalFormatting>
      </x14:conditionalFormattings>
    </x:ext>
  </x:extLst>
</x:worksheet>
</file>

<file path=xl/worksheets/sheet9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2" hidden="0" customWidth="1"/>
    <x:col min="3" max="3" width="18" hidden="0" customWidth="1"/>
    <x:col min="4" max="4" width="20" hidden="0" customWidth="1"/>
    <x:col min="5" max="5" width="16" hidden="0" customWidth="1"/>
    <x:col min="6" max="6" width="14" hidden="0" customWidth="1"/>
    <x:col min="7" max="7" width="14" hidden="0" customWidth="1"/>
    <x:col min="8" max="8" width="18" hidden="0" customWidth="1"/>
    <x:col min="9" max="9" width="36" hidden="0" customWidth="1"/>
    <x:col min="10" max="10" width="16" hidden="0" customWidth="1"/>
    <x:col min="11" max="11" width="64" hidden="0" customWidth="1"/>
    <x:col min="13" max="13" width="20" hidden="0" customWidth="1"/>
    <x:col min="14" max="14" width="18" hidden="0" customWidth="1"/>
    <x:col min="15" max="15" width="14" hidden="0" customWidth="1"/>
    <x:col min="16" max="16" width="45" hidden="0" customWidth="1"/>
    <x:col min="17" max="17" width="35" hidden="0" customWidth="1"/>
  </x:cols>
  <x:sheetData>
    <x:row r="1">
      <x:c r="A1" s="148" t="str">
        <x:v>Institution</x:v>
      </x:c>
      <x:c r="B1" s="148" t="str">
        <x:v>Period</x:v>
      </x:c>
      <x:c r="C1" s="148" t="str">
        <x:v>ΔEVE Max (JPY mm)</x:v>
      </x:c>
      <x:c r="D1" s="148" t="str">
        <x:v>IRRBB Capital (JPY mm)</x:v>
      </x:c>
      <x:c r="E1" s="148" t="str">
        <x:v>ΔEVE / Capital</x:v>
      </x:c>
      <x:c r="F1" s="148" t="str">
        <x:v>ΔEVE YoY</x:v>
      </x:c>
      <x:c r="G1" s="148" t="str">
        <x:v>Capital YoY</x:v>
      </x:c>
      <x:c r="H1" s="148" t="str">
        <x:v>Ratio Change (ppt)</x:v>
      </x:c>
      <x:c r="I1" s="148" t="str">
        <x:v>Mechanism</x:v>
      </x:c>
      <x:c r="J1" s="148" t="str">
        <x:v>Verification Status</x:v>
      </x:c>
      <x:c r="K1" s="148" t="str">
        <x:v>Primary Source</x:v>
      </x:c>
      <x:c r="L1" s="12"/>
      <x:c r="M1" s="122"/>
      <x:c r="N1" s="122"/>
      <x:c r="O1" s="122"/>
      <x:c r="P1" s="122"/>
      <x:c r="Q1" s="122"/>
    </x:row>
    <x:row r="2">
      <x:c r="A2" s="18" t="str">
        <x:v>稚内信用金庫</x:v>
      </x:c>
      <x:c r="B2" s="18" t="str">
        <x:v>2024-03</x:v>
      </x:c>
      <x:c r="C2" s="19" t="n">
        <x:v>45283</x:v>
      </x:c>
      <x:c r="D2" s="19" t="n">
        <x:v>52530</x:v>
      </x:c>
      <x:c r="E2" s="24" t="n">
        <x:f>IF(OR(C2="",D2=""),"",C2/D2)</x:f>
        <x:v>0.8620407386255473</x:v>
      </x:c>
      <x:c r="F2" s="24"/>
      <x:c r="G2" s="24"/>
      <x:c r="H2" s="24"/>
      <x:c r="I2" s="18" t="str">
        <x:v>Prior-year baseline</x:v>
      </x:c>
      <x:c r="J2" s="18" t="str">
        <x:v>Verified</x:v>
      </x:c>
      <x:c r="K2" s="18" t="str">
        <x:v>https://www.shinkin.co.jp/wakashin/assets/pdf/07-disclo/year-2025_2024-r06-81-2/81-2_all.pdf</x:v>
      </x:c>
      <x:c r="L2" s="12"/>
      <x:c r="M2" s="18"/>
      <x:c r="N2" s="20"/>
      <x:c r="O2" s="18"/>
      <x:c r="P2" s="18"/>
      <x:c r="Q2" s="18"/>
    </x:row>
    <x:row r="3">
      <x:c r="A3" s="18" t="str">
        <x:v>稚内信用金庫</x:v>
      </x:c>
      <x:c r="B3" s="18" t="str">
        <x:v>2025-03</x:v>
      </x:c>
      <x:c r="C3" s="19" t="n">
        <x:v>39677</x:v>
      </x:c>
      <x:c r="D3" s="19" t="n">
        <x:v>53186</x:v>
      </x:c>
      <x:c r="E3" s="24" t="n">
        <x:f>IF(OR(C3="",D3=""),"",C3/D3)</x:f>
        <x:v>0.7460045876734479</x:v>
      </x:c>
      <x:c r="F3" s="24" t="n">
        <x:f>IF(OR(C3="",C2=""),"",C3/C2-1)</x:f>
        <x:v>-0.12379921824967433</x:v>
      </x:c>
      <x:c r="G3" s="24" t="n">
        <x:f>IF(OR(D3="",D2=""),"",D3/D2-1)</x:f>
        <x:v>0.012488102036931181</x:v>
      </x:c>
      <x:c r="H3" s="24" t="n">
        <x:f>IF(OR(E3="",E2=""),"",E3-E2)</x:f>
        <x:v>-0.1160361509520994</x:v>
      </x:c>
      <x:c r="I3" s="18" t="str">
        <x:v>Risk down + capital slightly up</x:v>
      </x:c>
      <x:c r="J3" s="18" t="str">
        <x:v>Verified</x:v>
      </x:c>
      <x:c r="K3" s="18" t="str">
        <x:v>https://www.shinkin.co.jp/wakashin/assets/pdf/07-disclo/year-2025_2024-r06-81-2/81-2_all.pdf</x:v>
      </x:c>
      <x:c r="L3" s="12"/>
      <x:c r="M3" s="18"/>
      <x:c r="N3" s="20"/>
      <x:c r="O3" s="18"/>
      <x:c r="P3" s="18"/>
      <x:c r="Q3" s="18"/>
    </x:row>
    <x:row r="4">
      <x:c r="A4" s="18" t="str">
        <x:v>稚内信用金庫</x:v>
      </x:c>
      <x:c r="B4" s="18" t="str">
        <x:v>2026-03</x:v>
      </x:c>
      <x:c r="C4" s="19" t="n">
        <x:v>31339</x:v>
      </x:c>
      <x:c r="D4" s="19" t="n">
        <x:v>53484</x:v>
      </x:c>
      <x:c r="E4" s="24" t="n">
        <x:f>IF(OR(C4="",D4=""),"",C4/D4)</x:f>
        <x:v>0.5859509385984594</x:v>
      </x:c>
      <x:c r="F4" s="24" t="n">
        <x:f>IF(OR(C4="",C3=""),"",C4/C3-1)</x:f>
        <x:v>-0.21014693651233707</x:v>
      </x:c>
      <x:c r="G4" s="24" t="n">
        <x:f>IF(OR(D4="",D3=""),"",D4/D3-1)</x:f>
        <x:v>0.005602978227353006</x:v>
      </x:c>
      <x:c r="H4" s="24" t="n">
        <x:f>IF(OR(E4="",E3=""),"",E4-E3)</x:f>
        <x:v>-0.16005364907498854</x:v>
      </x:c>
      <x:c r="I4" s="18" t="str">
        <x:v>Risk down materially + capital stable</x:v>
      </x:c>
      <x:c r="J4" s="18" t="str">
        <x:v>Verified</x:v>
      </x:c>
      <x:c r="K4" s="18" t="str">
        <x:v>https://www.shinkin.co.jp/wakashin/assets/pdf/07-disclo/year-2026_2025-r07-82-2/82-2_12.pdf</x:v>
      </x:c>
      <x:c r="L4" s="12"/>
      <x:c r="M4" s="18"/>
      <x:c r="N4" s="20"/>
      <x:c r="O4" s="18"/>
      <x:c r="P4" s="18"/>
      <x:c r="Q4" s="18"/>
    </x:row>
    <x:row r="5">
      <x:c r="A5" s="18" t="str">
        <x:v>上越信用金庫</x:v>
      </x:c>
      <x:c r="B5" s="18" t="str">
        <x:v>2024-03</x:v>
      </x:c>
      <x:c r="C5" s="19" t="n">
        <x:v>9142</x:v>
      </x:c>
      <x:c r="D5" s="19" t="n">
        <x:v>11222</x:v>
      </x:c>
      <x:c r="E5" s="24" t="n">
        <x:f>IF(OR(C5="",D5=""),"",C5/D5)</x:f>
        <x:v>0.8146497950454464</x:v>
      </x:c>
      <x:c r="F5" s="24"/>
      <x:c r="G5" s="24"/>
      <x:c r="H5" s="24"/>
      <x:c r="I5" s="18" t="str">
        <x:v>Prior-year baseline</x:v>
      </x:c>
      <x:c r="J5" s="18" t="str">
        <x:v>Verified</x:v>
      </x:c>
      <x:c r="K5" s="18" t="str">
        <x:v>https://www.joetsu-shinkin.jp/files/about/disclosure/disclosure_2025.pdf</x:v>
      </x:c>
      <x:c r="L5" s="12"/>
      <x:c r="M5" s="18"/>
      <x:c r="N5" s="20"/>
      <x:c r="O5" s="18"/>
      <x:c r="P5" s="18"/>
      <x:c r="Q5" s="18"/>
    </x:row>
    <x:row r="6">
      <x:c r="A6" s="18" t="str">
        <x:v>上越信用金庫</x:v>
      </x:c>
      <x:c r="B6" s="18" t="str">
        <x:v>2025-03</x:v>
      </x:c>
      <x:c r="C6" s="19" t="n">
        <x:v>8517</x:v>
      </x:c>
      <x:c r="D6" s="19" t="n">
        <x:v>11336</x:v>
      </x:c>
      <x:c r="E6" s="24" t="n">
        <x:f>IF(OR(C6="",D6=""),"",C6/D6)</x:f>
        <x:v>0.7513232180663373</x:v>
      </x:c>
      <x:c r="F6" s="24" t="n">
        <x:f>IF(OR(C6="",C5=""),"",C6/C5-1)</x:f>
        <x:v>-0.06836578429227735</x:v>
      </x:c>
      <x:c r="G6" s="24" t="n">
        <x:f>IF(OR(D6="",D5=""),"",D6/D5-1)</x:f>
        <x:v>0.010158617002316905</x:v>
      </x:c>
      <x:c r="H6" s="24" t="n">
        <x:f>IF(OR(E6="",E5=""),"",E6-E5)</x:f>
        <x:v>-0.06332657697910915</x:v>
      </x:c>
      <x:c r="I6" s="18" t="str">
        <x:v>Risk down + capital slightly up</x:v>
      </x:c>
      <x:c r="J6" s="18" t="str">
        <x:v>Verified</x:v>
      </x:c>
      <x:c r="K6" s="18" t="str">
        <x:v>https://www.joetsu-shinkin.jp/files/about/disclosure/disclosure_2025.pdf</x:v>
      </x:c>
      <x:c r="L6" s="12"/>
      <x:c r="M6" s="18"/>
      <x:c r="N6" s="20"/>
      <x:c r="O6" s="18"/>
      <x:c r="P6" s="18"/>
      <x:c r="Q6" s="18"/>
    </x:row>
    <x:row r="7">
      <x:c r="A7" s="18" t="str">
        <x:v>上越信用金庫</x:v>
      </x:c>
      <x:c r="B7" s="18" t="str">
        <x:v>2026-03</x:v>
      </x:c>
      <x:c r="C7" s="19" t="n">
        <x:v>7082</x:v>
      </x:c>
      <x:c r="D7" s="19" t="n">
        <x:v>10481</x:v>
      </x:c>
      <x:c r="E7" s="24" t="n">
        <x:f>IF(OR(C7="",D7=""),"",C7/D7)</x:f>
        <x:v>0.675698883694304</x:v>
      </x:c>
      <x:c r="F7" s="24" t="n">
        <x:f>IF(OR(C7="",C6=""),"",C7/C6-1)</x:f>
        <x:v>-0.16848655629916642</x:v>
      </x:c>
      <x:c r="G7" s="24" t="n">
        <x:f>IF(OR(D7="",D6=""),"",D7/D6-1)</x:f>
        <x:v>-0.07542342978122796</x:v>
      </x:c>
      <x:c r="H7" s="24" t="n">
        <x:f>IF(OR(E7="",E6=""),"",E7-E6)</x:f>
        <x:v>-0.07562433437203331</x:v>
      </x:c>
      <x:c r="I7" s="18" t="str">
        <x:v>Risk down faster than capital contraction</x:v>
      </x:c>
      <x:c r="J7" s="18" t="str">
        <x:v>Verified</x:v>
      </x:c>
      <x:c r="K7" s="18" t="str">
        <x:v>https://www.joetsu-shinkin.jp/files/about/disclosure/disclosure_202603.pdf</x:v>
      </x:c>
      <x:c r="L7" s="12"/>
      <x:c r="M7" s="12"/>
      <x:c r="N7" s="12"/>
      <x:c r="O7" s="12"/>
      <x:c r="P7" s="12"/>
      <x:c r="Q7" s="12"/>
    </x:row>
    <x:row r="8">
      <x:c r="A8" s="18" t="str">
        <x:v>八幡信用金庫</x:v>
      </x:c>
      <x:c r="B8" s="18" t="str">
        <x:v>2024-03</x:v>
      </x:c>
      <x:c r="C8" s="19" t="n">
        <x:v>9043</x:v>
      </x:c>
      <x:c r="D8" s="19" t="n">
        <x:v>17454</x:v>
      </x:c>
      <x:c r="E8" s="24" t="n">
        <x:f>IF(OR(C8="",D8=""),"",C8/D8)</x:f>
        <x:v>0.5181047324395553</x:v>
      </x:c>
      <x:c r="F8" s="24"/>
      <x:c r="G8" s="24"/>
      <x:c r="H8" s="24"/>
      <x:c r="I8" s="18" t="str">
        <x:v>Prior-year baseline</x:v>
      </x:c>
      <x:c r="J8" s="18" t="str">
        <x:v>Verified</x:v>
      </x:c>
      <x:c r="K8" s="18" t="str">
        <x:v>https://www.shinkin.co.jp/hachiman/disclo/2025/all_shiryo.pdf</x:v>
      </x:c>
      <x:c r="L8" s="12"/>
      <x:c r="M8" s="12"/>
      <x:c r="N8" s="12"/>
      <x:c r="O8" s="12"/>
      <x:c r="P8" s="12"/>
      <x:c r="Q8" s="12"/>
    </x:row>
    <x:row r="9">
      <x:c r="A9" s="18" t="str">
        <x:v>八幡信用金庫</x:v>
      </x:c>
      <x:c r="B9" s="18" t="str">
        <x:v>2025-03</x:v>
      </x:c>
      <x:c r="C9" s="19" t="n">
        <x:v>12586</x:v>
      </x:c>
      <x:c r="D9" s="19" t="n">
        <x:v>17837</x:v>
      </x:c>
      <x:c r="E9" s="24" t="n">
        <x:f>IF(OR(C9="",D9=""),"",C9/D9)</x:f>
        <x:v>0.7056119302573303</x:v>
      </x:c>
      <x:c r="F9" s="24" t="n">
        <x:f>IF(OR(C9="",C8=""),"",C9/C8-1)</x:f>
        <x:v>0.391794758376645</x:v>
      </x:c>
      <x:c r="G9" s="24" t="n">
        <x:f>IF(OR(D9="",D8=""),"",D9/D8-1)</x:f>
        <x:v>0.021943394064397825</x:v>
      </x:c>
      <x:c r="H9" s="24" t="n">
        <x:f>IF(OR(E9="",E8=""),"",E9-E8)</x:f>
        <x:v>0.18750719781777492</x:v>
      </x:c>
      <x:c r="I9" s="18" t="str">
        <x:v>Risk up sharply + capital slightly up</x:v>
      </x:c>
      <x:c r="J9" s="18" t="str">
        <x:v>Verified</x:v>
      </x:c>
      <x:c r="K9" s="18" t="str">
        <x:v>https://www.shinkin.co.jp/hachiman/disclo/2025/all_shiryo.pdf</x:v>
      </x:c>
      <x:c r="L9" s="12"/>
      <x:c r="M9" s="12"/>
      <x:c r="N9" s="12"/>
      <x:c r="O9" s="12"/>
      <x:c r="P9" s="12"/>
      <x:c r="Q9" s="12"/>
    </x:row>
    <x:row r="10">
      <x:c r="A10" s="18" t="str">
        <x:v>八幡信用金庫</x:v>
      </x:c>
      <x:c r="B10" s="18" t="str">
        <x:v>2026-03</x:v>
      </x:c>
      <x:c r="C10" s="19" t="n">
        <x:v>15089</x:v>
      </x:c>
      <x:c r="D10" s="19" t="n">
        <x:v>18694</x:v>
      </x:c>
      <x:c r="E10" s="24" t="n">
        <x:f>IF(OR(C10="",D10=""),"",C10/D10)</x:f>
        <x:v>0.8071573766984059</x:v>
      </x:c>
      <x:c r="F10" s="24" t="n">
        <x:f>IF(OR(C10="",C9=""),"",C10/C9-1)</x:f>
        <x:v>0.19887176227554426</x:v>
      </x:c>
      <x:c r="G10" s="24" t="n">
        <x:f>IF(OR(D10="",D9=""),"",D10/D9-1)</x:f>
        <x:v>0.048046196109211126</x:v>
      </x:c>
      <x:c r="H10" s="24" t="n">
        <x:f>IF(OR(E10="",E9=""),"",E10-E9)</x:f>
        <x:v>0.10154544644107566</x:v>
      </x:c>
      <x:c r="I10" s="18" t="str">
        <x:v>Risk worsened again despite higher capital</x:v>
      </x:c>
      <x:c r="J10" s="18" t="str">
        <x:v>Verified</x:v>
      </x:c>
      <x:c r="K10" s="18" t="str">
        <x:v>https://www.shinkin.co.jp/hachiman/disclo/2026/parts_hon/18jikoshihon.pdf</x:v>
      </x:c>
      <x:c r="L10" s="12"/>
      <x:c r="M10" s="12"/>
      <x:c r="N10" s="12"/>
      <x:c r="O10" s="12"/>
      <x:c r="P10" s="12"/>
      <x:c r="Q10" s="12"/>
    </x:row>
    <x:row r="11">
      <x:c r="A11" s="18" t="str">
        <x:v>伊達信用金庫</x:v>
      </x:c>
      <x:c r="B11" s="18" t="str">
        <x:v>2024-03</x:v>
      </x:c>
      <x:c r="C11" s="19" t="n">
        <x:v>4647</x:v>
      </x:c>
      <x:c r="D11" s="19" t="n">
        <x:v>6444</x:v>
      </x:c>
      <x:c r="E11" s="24" t="n">
        <x:f>IF(OR(C11="",D11=""),"",C11/D11)</x:f>
        <x:v>0.7211359404096834</x:v>
      </x:c>
      <x:c r="F11" s="24"/>
      <x:c r="G11" s="24"/>
      <x:c r="H11" s="24"/>
      <x:c r="I11" s="18" t="str">
        <x:v>Prior-year baseline</x:v>
      </x:c>
      <x:c r="J11" s="18" t="str">
        <x:v>Verified</x:v>
      </x:c>
      <x:c r="K11" s="18" t="str">
        <x:v>https://www.shinkin.co.jp/dateshin/common/asset/data/pdf/report2025.pdf</x:v>
      </x:c>
      <x:c r="L11" s="12"/>
      <x:c r="M11" s="12"/>
      <x:c r="N11" s="12"/>
      <x:c r="O11" s="12"/>
      <x:c r="P11" s="12"/>
      <x:c r="Q11" s="12"/>
    </x:row>
    <x:row r="12">
      <x:c r="A12" s="18" t="str">
        <x:v>伊達信用金庫</x:v>
      </x:c>
      <x:c r="B12" s="18" t="str">
        <x:v>2025-03</x:v>
      </x:c>
      <x:c r="C12" s="19" t="n">
        <x:v>4162</x:v>
      </x:c>
      <x:c r="D12" s="19" t="n">
        <x:v>6598</x:v>
      </x:c>
      <x:c r="E12" s="24" t="n">
        <x:f>IF(OR(C12="",D12=""),"",C12/D12)</x:f>
        <x:v>0.6307972112761443</x:v>
      </x:c>
      <x:c r="F12" s="24" t="n">
        <x:f>IF(OR(C12="",C11=""),"",C12/C11-1)</x:f>
        <x:v>-0.10436840972670536</x:v>
      </x:c>
      <x:c r="G12" s="24" t="n">
        <x:f>IF(OR(D12="",D11=""),"",D12/D11-1)</x:f>
        <x:v>0.0238981998758534</x:v>
      </x:c>
      <x:c r="H12" s="24" t="n">
        <x:f>IF(OR(E12="",E11=""),"",E12-E11)</x:f>
        <x:v>-0.09033872913353913</x:v>
      </x:c>
      <x:c r="I12" s="18" t="str">
        <x:v>Risk down + capital up</x:v>
      </x:c>
      <x:c r="J12" s="18" t="str">
        <x:v>Verified</x:v>
      </x:c>
      <x:c r="K12" s="18" t="str">
        <x:v>https://www.shinkin.co.jp/dateshin/common/asset/data/pdf/report2025.pdf</x:v>
      </x:c>
      <x:c r="L12" s="12"/>
      <x:c r="M12" s="12"/>
      <x:c r="N12" s="12"/>
      <x:c r="O12" s="12"/>
      <x:c r="P12" s="12"/>
      <x:c r="Q12" s="12"/>
    </x:row>
    <x:row r="13">
      <x:c r="A13" s="135" t="str">
        <x:v>伊達信用金庫</x:v>
      </x:c>
      <x:c r="B13" s="135" t="str">
        <x:v>2026-03</x:v>
      </x:c>
      <x:c r="C13" s="141" t="n">
        <x:v>3815</x:v>
      </x:c>
      <x:c r="D13" s="141" t="n">
        <x:v>6697</x:v>
      </x:c>
      <x:c r="E13" s="144" t="n">
        <x:f>IF(OR(C13="",D13=""),"",C13/D13)</x:f>
        <x:v>0.5696580558459011</x:v>
      </x:c>
      <x:c r="F13" s="144" t="n">
        <x:f>IF(OR(C13="",C12=""),"",C13/C12-1)</x:f>
        <x:v>-0.0833733781835656</x:v>
      </x:c>
      <x:c r="G13" s="144" t="n">
        <x:f>IF(OR(D13="",D12=""),"",D13/D12-1)</x:f>
        <x:v>0.0150045468323734</x:v>
      </x:c>
      <x:c r="H13" s="144" t="n">
        <x:f>IF(OR(E13="",E12=""),"",E13-E12)</x:f>
        <x:v>-0.061139155430243175</x:v>
      </x:c>
      <x:c r="I13" s="135" t="str">
        <x:v>Risk down + capital up</x:v>
      </x:c>
      <x:c r="J13" s="135" t="str">
        <x:v>Verified</x:v>
      </x:c>
      <x:c r="K13" s="135" t="str">
        <x:v>https://www.shinkin.co.jp/dateshin/common/asset/data/pdf/report2026.pdf</x:v>
      </x:c>
      <x:c r="L13" s="12"/>
      <x:c r="M13" s="12"/>
      <x:c r="N13" s="12"/>
      <x:c r="O13" s="12"/>
      <x:c r="P13" s="12"/>
      <x:c r="Q13" s="12"/>
    </x:row>
    <x:row r="14">
      <x:c r="A14" s="136" t="str">
        <x:v>銚子信用金庫</x:v>
      </x:c>
      <x:c r="B14" s="136" t="str">
        <x:v>2024-03</x:v>
      </x:c>
      <x:c r="C14" s="142" t="n">
        <x:v>15096</x:v>
      </x:c>
      <x:c r="D14" s="142" t="n">
        <x:v>22115</x:v>
      </x:c>
      <x:c r="E14" s="145" t="n">
        <x:f>IF(OR(C14="",D14=""),"",C14/D14)</x:f>
        <x:v>0.68261361067149</x:v>
      </x:c>
      <x:c r="F14" s="145"/>
      <x:c r="G14" s="145"/>
      <x:c r="H14" s="145"/>
      <x:c r="I14" s="136" t="str">
        <x:v>Prior-year baseline</x:v>
      </x:c>
      <x:c r="J14" s="136" t="str">
        <x:v>Verified</x:v>
      </x:c>
      <x:c r="K14" s="136" t="str">
        <x:v>https://www.choshi-shinkin.co.jp/kigyo/disclosure/files/2025disclo-siryo.pdf</x:v>
      </x:c>
      <x:c r="L14" s="12"/>
      <x:c r="M14" s="12"/>
      <x:c r="N14" s="12"/>
      <x:c r="O14" s="12"/>
      <x:c r="P14" s="12"/>
      <x:c r="Q14" s="12"/>
    </x:row>
    <x:row r="15">
      <x:c r="A15" s="18" t="str">
        <x:v>銚子信用金庫</x:v>
      </x:c>
      <x:c r="B15" s="18" t="str">
        <x:v>2025-03</x:v>
      </x:c>
      <x:c r="C15" s="19" t="n">
        <x:v>14712</x:v>
      </x:c>
      <x:c r="D15" s="19" t="n">
        <x:v>23343</x:v>
      </x:c>
      <x:c r="E15" s="24" t="n">
        <x:f>IF(OR(C15="",D15=""),"",C15/D15)</x:f>
        <x:v>0.6302531808250867</x:v>
      </x:c>
      <x:c r="F15" s="24" t="n">
        <x:f>IF(OR(C15="",C14=""),"",C15/C14-1)</x:f>
        <x:v>-0.025437201907790197</x:v>
      </x:c>
      <x:c r="G15" s="24" t="n">
        <x:f>IF(OR(D15="",D14=""),"",D15/D14-1)</x:f>
        <x:v>0.05552792222473424</x:v>
      </x:c>
      <x:c r="H15" s="24" t="n">
        <x:f>IF(OR(E15="",E14=""),"",E15-E14)</x:f>
        <x:v>-0.05236042984640321</x:v>
      </x:c>
      <x:c r="I15" s="18" t="str">
        <x:v>Risk down + capital up</x:v>
      </x:c>
      <x:c r="J15" s="18" t="str">
        <x:v>Verified</x:v>
      </x:c>
      <x:c r="K15" s="18" t="str">
        <x:v>https://www.choshi-shinkin.co.jp/kigyo/disclosure/files/2025disclo-siryo.pdf</x:v>
      </x:c>
      <x:c r="L15" s="12"/>
      <x:c r="M15" s="12"/>
      <x:c r="N15" s="12"/>
      <x:c r="O15" s="12"/>
      <x:c r="P15" s="12"/>
      <x:c r="Q15" s="12"/>
    </x:row>
    <x:row r="16">
      <x:c r="A16" s="137" t="str">
        <x:v>銚子信用金庫</x:v>
      </x:c>
      <x:c r="B16" s="137" t="str">
        <x:v>2026-03</x:v>
      </x:c>
      <x:c r="C16" s="143" t="n">
        <x:v>12385</x:v>
      </x:c>
      <x:c r="D16" s="143" t="n">
        <x:v>24591</x:v>
      </x:c>
      <x:c r="E16" s="146" t="n">
        <x:f>IF(OR(C16="",D16=""),"",C16/D16)</x:f>
        <x:v>0.5036395429222074</x:v>
      </x:c>
      <x:c r="F16" s="146" t="n">
        <x:f>IF(OR(C16="",C15=""),"",C16/C15-1)</x:f>
        <x:v>-0.15817020119630232</x:v>
      </x:c>
      <x:c r="G16" s="24" t="n">
        <x:f>IF(OR(D16="",D15=""),"",D16/D15-1)</x:f>
        <x:v>0.05346356509446082</x:v>
      </x:c>
      <x:c r="H16" s="24" t="n">
        <x:f>IF(OR(E16="",E15=""),"",E16-E15)</x:f>
        <x:v>-0.12661363790287938</x:v>
      </x:c>
      <x:c r="I16" s="18" t="str">
        <x:v>Risk down materially + capital up</x:v>
      </x:c>
      <x:c r="J16" s="18" t="str">
        <x:v>Verified</x:v>
      </x:c>
      <x:c r="K16" s="18" t="str">
        <x:v>https://www.choshi-shinkin.co.jp/kigyo/disclosure/files/2026P12-31.pdf</x:v>
      </x:c>
      <x:c r="L16" s="12"/>
      <x:c r="M16" s="12"/>
      <x:c r="N16" s="12"/>
      <x:c r="O16" s="12"/>
      <x:c r="P16" s="12"/>
      <x:c r="Q16" s="12"/>
    </x:row>
    <x:row r="17">
      <x:c r="A17" s="18" t="str">
        <x:v>新湊信用金庫</x:v>
      </x:c>
      <x:c r="B17" s="20" t="str">
        <x:v>2024-03</x:v>
      </x:c>
      <x:c r="C17" s="19" t="n">
        <x:v>3119</x:v>
      </x:c>
      <x:c r="D17" s="19" t="n">
        <x:v>5791</x:v>
      </x:c>
      <x:c r="E17" s="24" t="n">
        <x:f>IF(OR(C17="",D17=""),"",C17/D17)</x:f>
        <x:v>0.5385943705750302</x:v>
      </x:c>
      <x:c r="F17" s="24"/>
      <x:c r="G17" s="24"/>
      <x:c r="H17" s="24"/>
      <x:c r="I17" s="18" t="str">
        <x:v>Prior-year baseline</x:v>
      </x:c>
      <x:c r="J17" s="18" t="str">
        <x:v>Verified</x:v>
      </x:c>
      <x:c r="K17" s="18" t="str">
        <x:v>https://www.shinkin.co.jp/s-minato/about/data/disclosure_2025.pdf</x:v>
      </x:c>
      <x:c r="L17" s="12"/>
      <x:c r="M17" s="12"/>
      <x:c r="N17" s="12"/>
      <x:c r="O17" s="12"/>
      <x:c r="P17" s="12"/>
      <x:c r="Q17" s="12"/>
    </x:row>
    <x:row r="18">
      <x:c r="A18" s="18" t="str">
        <x:v>新湊信用金庫</x:v>
      </x:c>
      <x:c r="B18" s="20" t="str">
        <x:v>2025-03</x:v>
      </x:c>
      <x:c r="C18" s="19" t="n">
        <x:v>2302</x:v>
      </x:c>
      <x:c r="D18" s="19" t="n">
        <x:v>3922</x:v>
      </x:c>
      <x:c r="E18" s="24" t="n">
        <x:f>IF(OR(C18="",D18=""),"",C18/D18)</x:f>
        <x:v>0.5869454360020397</x:v>
      </x:c>
      <x:c r="F18" s="24" t="n">
        <x:f>IF(OR(C18="",C17=""),"",C18/C17-1)</x:f>
        <x:v>-0.2619429304264187</x:v>
      </x:c>
      <x:c r="G18" s="24" t="n">
        <x:f>IF(OR(D18="",D17=""),"",D18/D17-1)</x:f>
        <x:v>-0.32274218615092387</x:v>
      </x:c>
      <x:c r="H18" s="24" t="n">
        <x:f>IF(OR(E18="",E17=""),"",E18-E17)</x:f>
        <x:v>0.04835106542700951</x:v>
      </x:c>
      <x:c r="I18" s="18" t="str">
        <x:v>Risk down + capital down faster</x:v>
      </x:c>
      <x:c r="J18" s="18" t="str">
        <x:v>Verified</x:v>
      </x:c>
      <x:c r="K18" s="18" t="str">
        <x:v>https://www.shinkin.co.jp/s-minato/about/data/disclosure_2025.pdf</x:v>
      </x:c>
      <x:c r="L18" s="12"/>
      <x:c r="M18" s="12"/>
      <x:c r="N18" s="12"/>
      <x:c r="O18" s="12"/>
      <x:c r="P18" s="12"/>
      <x:c r="Q18" s="12"/>
    </x:row>
    <x:row r="19">
      <x:c r="A19" s="18" t="str">
        <x:v>新湊信用金庫</x:v>
      </x:c>
      <x:c r="B19" s="20" t="str">
        <x:v>2026-03</x:v>
      </x:c>
      <x:c r="C19" s="19" t="n">
        <x:v>2332</x:v>
      </x:c>
      <x:c r="D19" s="19" t="n">
        <x:v>4064</x:v>
      </x:c>
      <x:c r="E19" s="24" t="n">
        <x:f>IF(OR(C19="",D19=""),"",C19/D19)</x:f>
        <x:v>0.5738188976377953</x:v>
      </x:c>
      <x:c r="F19" s="24" t="n">
        <x:f>IF(OR(C19="",C18=""),"",C19/C18-1)</x:f>
        <x:v>0.013032145960034658</x:v>
      </x:c>
      <x:c r="G19" s="24" t="n">
        <x:f>IF(OR(D19="",D18=""),"",D19/D18-1)</x:f>
        <x:v>0.0362060173380927</x:v>
      </x:c>
      <x:c r="H19" s="24" t="n">
        <x:f>IF(OR(E19="",E18=""),"",E19-E18)</x:f>
        <x:v>-0.013126538364244489</x:v>
      </x:c>
      <x:c r="I19" s="18" t="str">
        <x:v>Risk broadly flat + capital recovery</x:v>
      </x:c>
      <x:c r="J19" s="18" t="str">
        <x:v>Verified</x:v>
      </x:c>
      <x:c r="K19" s="18" t="str">
        <x:v>https://www.shinkin.co.jp/s-minato/about/data/disclosure_2026.pdf</x:v>
      </x:c>
      <x:c r="L19" s="12"/>
      <x:c r="M19" s="12"/>
      <x:c r="N19" s="12"/>
      <x:c r="O19" s="12"/>
      <x:c r="P19" s="12"/>
      <x:c r="Q19" s="12"/>
    </x:row>
    <x:row r="20">
      <x:c r="A20" s="18" t="str">
        <x:v>敦賀信用金庫</x:v>
      </x:c>
      <x:c r="B20" s="20" t="str">
        <x:v>2024-03</x:v>
      </x:c>
      <x:c r="C20" s="19" t="n">
        <x:v>5568</x:v>
      </x:c>
      <x:c r="D20" s="19" t="n">
        <x:v>8467</x:v>
      </x:c>
      <x:c r="E20" s="24" t="n">
        <x:f>IF(OR(C20="",D20=""),"",C20/D20)</x:f>
        <x:v>0.6576119050431085</x:v>
      </x:c>
      <x:c r="F20" s="24"/>
      <x:c r="G20" s="24"/>
      <x:c r="H20" s="24"/>
      <x:c r="I20" s="18" t="str">
        <x:v>Prior-year baseline</x:v>
      </x:c>
      <x:c r="J20" s="18" t="str">
        <x:v>Verified</x:v>
      </x:c>
      <x:c r="K20" s="18" t="str">
        <x:v>https://www.shinkin.co.jp/tsuruga/about/disc/pdf/all2025.pdf</x:v>
      </x:c>
      <x:c r="L20" s="12"/>
      <x:c r="M20" s="12"/>
      <x:c r="N20" s="12"/>
      <x:c r="O20" s="12"/>
      <x:c r="P20" s="12"/>
      <x:c r="Q20" s="12"/>
    </x:row>
    <x:row r="21">
      <x:c r="A21" s="18" t="str">
        <x:v>敦賀信用金庫</x:v>
      </x:c>
      <x:c r="B21" s="20" t="str">
        <x:v>2025-03</x:v>
      </x:c>
      <x:c r="C21" s="19" t="n">
        <x:v>5063</x:v>
      </x:c>
      <x:c r="D21" s="19" t="n">
        <x:v>8737</x:v>
      </x:c>
      <x:c r="E21" s="24" t="n">
        <x:f>IF(OR(C21="",D21=""),"",C21/D21)</x:f>
        <x:v>0.5794895272976994</x:v>
      </x:c>
      <x:c r="F21" s="24" t="n">
        <x:f>IF(OR(C21="",C20=""),"",C21/C20-1)</x:f>
        <x:v>-0.09069683908045978</x:v>
      </x:c>
      <x:c r="G21" s="24" t="n">
        <x:f>IF(OR(D21="",D20=""),"",D21/D20-1)</x:f>
        <x:v>0.03188850832644374</x:v>
      </x:c>
      <x:c r="H21" s="24" t="n">
        <x:f>IF(OR(E21="",E20=""),"",E21-E20)</x:f>
        <x:v>-0.07812237774540909</x:v>
      </x:c>
      <x:c r="I21" s="18" t="str">
        <x:v>Risk down + capital up</x:v>
      </x:c>
      <x:c r="J21" s="18" t="str">
        <x:v>Verified</x:v>
      </x:c>
      <x:c r="K21" s="18" t="str">
        <x:v>https://www.shinkin.co.jp/tsuruga/about/disc/pdf/all2025.pdf</x:v>
      </x:c>
      <x:c r="L21" s="12"/>
      <x:c r="M21" s="12"/>
      <x:c r="N21" s="12"/>
      <x:c r="O21" s="12"/>
      <x:c r="P21" s="12"/>
      <x:c r="Q21" s="12"/>
    </x:row>
    <x:row r="22">
      <x:c r="A22" s="18" t="str">
        <x:v>敦賀信用金庫</x:v>
      </x:c>
      <x:c r="B22" s="18" t="str">
        <x:v>2026-03</x:v>
      </x:c>
      <x:c r="C22" s="19" t="n">
        <x:v>4072</x:v>
      </x:c>
      <x:c r="D22" s="19" t="n">
        <x:v>9150</x:v>
      </x:c>
      <x:c r="E22" s="24" t="n">
        <x:f>IF(OR(C22="",D22=""),"",C22/D22)</x:f>
        <x:v>0.4450273224043716</x:v>
      </x:c>
      <x:c r="F22" s="24" t="n">
        <x:f>IF(OR(C22="",C21=""),"",C22/C21-1)</x:f>
        <x:v>-0.1957337546908947</x:v>
      </x:c>
      <x:c r="G22" s="24" t="n">
        <x:f>IF(OR(D22="",D21=""),"",D22/D21-1)</x:f>
        <x:v>0.04727023005608322</x:v>
      </x:c>
      <x:c r="H22" s="24" t="n">
        <x:f>IF(OR(E22="",E21=""),"",E22-E21)</x:f>
        <x:v>-0.13446220489332783</x:v>
      </x:c>
      <x:c r="I22" s="18" t="str">
        <x:v>Risk down materially + capital up</x:v>
      </x:c>
      <x:c r="J22" s="18" t="str">
        <x:v>Verified</x:v>
      </x:c>
      <x:c r="K22" s="18" t="str">
        <x:v>https://www.shinkin.co.jp/tsuruga/about/disc/pdf/kaiji.pdf</x:v>
      </x:c>
    </x:row>
    <x:row r="23">
      <x:c r="A23" s="135" t="str">
        <x:v>大地みらい信用金庫</x:v>
      </x:c>
      <x:c r="B23" s="135" t="str">
        <x:v>2024-03</x:v>
      </x:c>
      <x:c r="C23" s="141" t="n">
        <x:v>16439</x:v>
      </x:c>
      <x:c r="D23" s="141" t="n">
        <x:v>29615</x:v>
      </x:c>
      <x:c r="E23" s="144" t="n">
        <x:f>IF(OR(C23="",D23=""),"",C23/D23)</x:f>
        <x:v>0.5550903258483877</x:v>
      </x:c>
      <x:c r="F23" s="144"/>
      <x:c r="G23" s="144"/>
      <x:c r="H23" s="144"/>
      <x:c r="I23" s="135" t="str">
        <x:v>Prior-year baseline</x:v>
      </x:c>
      <x:c r="J23" s="135" t="str">
        <x:v>Verified</x:v>
      </x:c>
      <x:c r="K23" s="135" t="str">
        <x:v>https://www.daichimirai.co.jp/company/disclosure/2025/2025_document.pdf</x:v>
      </x:c>
    </x:row>
    <x:row r="24">
      <x:c r="A24" s="136" t="str">
        <x:v>大地みらい信用金庫</x:v>
      </x:c>
      <x:c r="B24" s="136" t="str">
        <x:v>2025-03</x:v>
      </x:c>
      <x:c r="C24" s="142" t="n">
        <x:v>16445</x:v>
      </x:c>
      <x:c r="D24" s="142" t="n">
        <x:v>30283</x:v>
      </x:c>
      <x:c r="E24" s="145" t="n">
        <x:f>IF(OR(C24="",D24=""),"",C24/D24)</x:f>
        <x:v>0.5430439520523066</x:v>
      </x:c>
      <x:c r="F24" s="145" t="n">
        <x:f>IF(OR(C24="",C23=""),"",C24/C23-1)</x:f>
        <x:v>0.00036498570472653924</x:v>
      </x:c>
      <x:c r="G24" s="145" t="n">
        <x:f>IF(OR(D24="",D23=""),"",D24/D23-1)</x:f>
        <x:v>0.022556137092689443</x:v>
      </x:c>
      <x:c r="H24" s="145" t="n">
        <x:f>IF(OR(E24="",E23=""),"",E24-E23)</x:f>
        <x:v>-0.012046373796081089</x:v>
      </x:c>
      <x:c r="I24" s="136" t="str">
        <x:v>Risk broadly flat + capital up</x:v>
      </x:c>
      <x:c r="J24" s="136" t="str">
        <x:v>Verified</x:v>
      </x:c>
      <x:c r="K24" s="136" t="str">
        <x:v>https://www.daichimirai.co.jp/company/disclosure/2025/2025_document.pdf</x:v>
      </x:c>
    </x:row>
    <x:row r="25">
      <x:c r="A25" s="18" t="str">
        <x:v>大地みらい信用金庫</x:v>
      </x:c>
      <x:c r="B25" s="18" t="str">
        <x:v>2026-03</x:v>
      </x:c>
      <x:c r="C25" s="19" t="n">
        <x:v>13050</x:v>
      </x:c>
      <x:c r="D25" s="19" t="n">
        <x:v>31066</x:v>
      </x:c>
      <x:c r="E25" s="24" t="n">
        <x:f>IF(OR(C25="",D25=""),"",C25/D25)</x:f>
        <x:v>0.42007339213287836</x:v>
      </x:c>
      <x:c r="F25" s="24" t="n">
        <x:f>IF(OR(C25="",C24=""),"",C25/C24-1)</x:f>
        <x:v>-0.20644572818485862</x:v>
      </x:c>
      <x:c r="G25" s="24" t="n">
        <x:f>IF(OR(D25="",D24=""),"",D25/D24-1)</x:f>
        <x:v>0.025856090876068993</x:v>
      </x:c>
      <x:c r="H25" s="24" t="n">
        <x:f>IF(OR(E25="",E24=""),"",E25-E24)</x:f>
        <x:v>-0.12297055991942824</x:v>
      </x:c>
      <x:c r="I25" s="18" t="str">
        <x:v>Risk down materially + capital up</x:v>
      </x:c>
      <x:c r="J25" s="18" t="str">
        <x:v>Verified</x:v>
      </x:c>
      <x:c r="K25" s="18" t="str">
        <x:v>https://www.shinkin.co.jp/daichimirai/company/disclosure/2026/2026_document.pdf</x:v>
      </x:c>
    </x:row>
    <x:row r="26">
      <x:c r="A26" s="161" t="str">
        <x:v>氷見伏木信用金庫</x:v>
      </x:c>
      <x:c r="B26" s="161" t="str">
        <x:v>2024-03</x:v>
      </x:c>
      <x:c r="C26" s="163" t="n">
        <x:v>4728</x:v>
      </x:c>
      <x:c r="D26" s="163" t="n">
        <x:v>8941</x:v>
      </x:c>
      <x:c r="E26" s="164" t="n">
        <x:f>IF(OR(C26="",D26=""),"",C26/D26)</x:f>
        <x:v>0.5287999105245498</x:v>
      </x:c>
      <x:c r="F26" s="164"/>
      <x:c r="G26" s="24"/>
      <x:c r="H26" s="164"/>
      <x:c r="I26" s="161" t="str">
        <x:v>Prior-year baseline</x:v>
      </x:c>
      <x:c r="J26" s="161" t="str">
        <x:v>Verified</x:v>
      </x:c>
      <x:c r="K26" s="161" t="str">
        <x:v>https://www.shinkin.co.jp/himifusi/assets/pdf/aboutus/disclosure202503.pdf</x:v>
      </x:c>
    </x:row>
    <x:row r="27">
      <x:c r="A27" s="18" t="str">
        <x:v>氷見伏木信用金庫</x:v>
      </x:c>
      <x:c r="B27" s="20" t="str">
        <x:v>2025-03</x:v>
      </x:c>
      <x:c r="C27" s="19" t="n">
        <x:v>4634</x:v>
      </x:c>
      <x:c r="D27" s="19" t="n">
        <x:v>9044</x:v>
      </x:c>
      <x:c r="E27" s="24" t="n">
        <x:f>IF(OR(C27="",D27=""),"",C27/D27)</x:f>
        <x:v>0.5123839009287926</x:v>
      </x:c>
      <x:c r="F27" s="24" t="n">
        <x:f>IF(OR(C27="",C26=""),"",C27/C26-1)</x:f>
        <x:v>-0.019881556683587154</x:v>
      </x:c>
      <x:c r="G27" s="24" t="n">
        <x:f>IF(OR(D27="",D26=""),"",D27/D26-1)</x:f>
        <x:v>0.011519964209819822</x:v>
      </x:c>
      <x:c r="H27" s="24" t="n">
        <x:f>IF(OR(E27="",E26=""),"",E27-E26)</x:f>
        <x:v>-0.016416009595757175</x:v>
      </x:c>
      <x:c r="I27" s="18" t="str">
        <x:v>Risk slightly down + capital slightly up</x:v>
      </x:c>
      <x:c r="J27" s="18" t="str">
        <x:v>Verified</x:v>
      </x:c>
      <x:c r="K27" s="18" t="str">
        <x:v>https://www.shinkin.co.jp/himifusi/assets/pdf/aboutus/disclosure202503.pdf</x:v>
      </x:c>
    </x:row>
    <x:row r="28">
      <x:c r="A28" s="18" t="str">
        <x:v>氷見伏木信用金庫</x:v>
      </x:c>
      <x:c r="B28" s="20" t="str">
        <x:v>2026-03</x:v>
      </x:c>
      <x:c r="C28" s="19" t="n">
        <x:v>4329</x:v>
      </x:c>
      <x:c r="D28" s="19" t="n">
        <x:v>9120</x:v>
      </x:c>
      <x:c r="E28" s="24" t="n">
        <x:f>IF(OR(C28="",D28=""),"",C28/D28)</x:f>
        <x:v>0.47467105263157894</x:v>
      </x:c>
      <x:c r="F28" s="24" t="n">
        <x:f>IF(OR(C28="",C27=""),"",C28/C27-1)</x:f>
        <x:v>-0.06581786793267153</x:v>
      </x:c>
      <x:c r="G28" s="24" t="n">
        <x:f>IF(OR(D28="",D27=""),"",D28/D27-1)</x:f>
        <x:v>0.008403361344537785</x:v>
      </x:c>
      <x:c r="H28" s="24" t="n">
        <x:f>IF(OR(E28="",E27=""),"",E28-E27)</x:f>
        <x:v>-0.037712848297213664</x:v>
      </x:c>
      <x:c r="I28" s="18" t="str">
        <x:v>Risk down + capital slightly up</x:v>
      </x:c>
      <x:c r="J28" s="18" t="str">
        <x:v>Verified</x:v>
      </x:c>
      <x:c r="K28" s="18" t="str">
        <x:v>https://www.shinkin.co.jp/himifusi/assets/pdf/aboutus/disclosure202603.pdf</x:v>
      </x:c>
    </x:row>
    <x:row r="29">
      <x:c r="A29" s="18" t="str">
        <x:v>越前信用金庫</x:v>
      </x:c>
      <x:c r="B29" s="20" t="str">
        <x:v>2024-03</x:v>
      </x:c>
      <x:c r="C29" s="19" t="n">
        <x:v>9770</x:v>
      </x:c>
      <x:c r="D29" s="19" t="n">
        <x:v>17619</x:v>
      </x:c>
      <x:c r="E29" s="24" t="n">
        <x:f>IF(OR(C29="",D29=""),"",C29/D29)</x:f>
        <x:v>0.5545150122027357</x:v>
      </x:c>
      <x:c r="F29" s="24"/>
      <x:c r="G29" s="24"/>
      <x:c r="H29" s="24"/>
      <x:c r="I29" s="18" t="str">
        <x:v>Prior-year baseline</x:v>
      </x:c>
      <x:c r="J29" s="18" t="str">
        <x:v>Verified</x:v>
      </x:c>
      <x:c r="K29" s="18" t="str">
        <x:v>https://www.shinkin.co.jp/echishin/assets/pdf/corporate/disclosure/disco2025.pdf</x:v>
      </x:c>
    </x:row>
    <x:row r="30">
      <x:c r="A30" s="18" t="str">
        <x:v>越前信用金庫</x:v>
      </x:c>
      <x:c r="B30" s="20" t="str">
        <x:v>2025-03</x:v>
      </x:c>
      <x:c r="C30" s="19" t="n">
        <x:v>8945</x:v>
      </x:c>
      <x:c r="D30" s="19" t="n">
        <x:v>17828</x:v>
      </x:c>
      <x:c r="E30" s="24" t="n">
        <x:f>IF(OR(C30="",D30=""),"",C30/D30)</x:f>
        <x:v>0.5017388377832623</x:v>
      </x:c>
      <x:c r="F30" s="24" t="n">
        <x:f>IF(OR(C30="",C29=""),"",C30/C29-1)</x:f>
        <x:v>-0.08444216990788123</x:v>
      </x:c>
      <x:c r="G30" s="24" t="n">
        <x:f>IF(OR(D30="",D29=""),"",D30/D29-1)</x:f>
        <x:v>0.011862194222146627</x:v>
      </x:c>
      <x:c r="H30" s="24" t="n">
        <x:f>IF(OR(E30="",E29=""),"",E30-E29)</x:f>
        <x:v>-0.052776174419473354</x:v>
      </x:c>
      <x:c r="I30" s="18" t="str">
        <x:v>Risk down + capital slightly up</x:v>
      </x:c>
      <x:c r="J30" s="18" t="str">
        <x:v>Verified</x:v>
      </x:c>
      <x:c r="K30" s="18" t="str">
        <x:v>https://www.shinkin.co.jp/echishin/assets/pdf/corporate/disclosure/disco2025.pdf</x:v>
      </x:c>
    </x:row>
    <x:row r="31">
      <x:c r="A31" s="18" t="str">
        <x:v>越前信用金庫</x:v>
      </x:c>
      <x:c r="B31" s="20" t="str">
        <x:v>2026-03</x:v>
      </x:c>
      <x:c r="C31" s="19"/>
      <x:c r="D31" s="19"/>
      <x:c r="E31" s="24" t="str">
        <x:f>IF(OR(C31="",D31=""),"",C31/D31)</x:f>
      </x:c>
      <x:c r="F31" s="24" t="str">
        <x:f>IF(OR(C31="",C30=""),"",C31/C30-1)</x:f>
      </x:c>
      <x:c r="G31" s="24" t="str">
        <x:f>IF(OR(D31="",D30=""),"",D31/D30-1)</x:f>
      </x:c>
      <x:c r="H31" s="24" t="str">
        <x:f>IF(OR(E31="",E30=""),"",E31-E30)</x:f>
      </x:c>
      <x:c r="I31" s="20" t="str">
        <x:v>2026 official IRRBB values not yet available from the current official disclosure page</x:v>
      </x:c>
      <x:c r="J31" s="18" t="str">
        <x:v>Pending</x:v>
      </x:c>
      <x:c r="K31" s="18" t="str">
        <x:v>https://www.shinkin.co.jp/echishin/disclobanner/index.html</x:v>
      </x:c>
    </x:row>
    <x:row r="32">
      <x:c r="A32" s="18"/>
      <x:c r="B32" s="24"/>
      <x:c r="C32" s="24"/>
      <x:c r="D32" s="24"/>
      <x:c r="E32" s="12"/>
      <x:c r="F32" s="12"/>
      <x:c r="G32" s="12"/>
      <x:c r="H32" s="12"/>
      <x:c r="I32" s="16"/>
      <x:c r="J32" s="12"/>
      <x:c r="K32" s="12"/>
    </x:row>
    <x:row r="33">
      <x:c r="A33" s="18"/>
      <x:c r="B33" s="24"/>
      <x:c r="C33" s="24"/>
      <x:c r="D33" s="24"/>
      <x:c r="E33" s="12"/>
      <x:c r="F33" s="12"/>
      <x:c r="G33" s="12"/>
      <x:c r="H33" s="12"/>
      <x:c r="I33" s="16"/>
      <x:c r="J33" s="12"/>
      <x:c r="K33" s="12"/>
    </x:row>
    <x:row r="34">
      <x:c r="A34" s="156" t="str">
        <x:v>Deep Money — High-Sensitivity Cluster: 3-Year IRRBB History (2024–2026)</x:v>
      </x:c>
      <x:c r="B34" s="157"/>
      <x:c r="C34" s="157"/>
      <x:c r="D34" s="157"/>
      <x:c r="E34" s="156"/>
      <x:c r="F34" s="156"/>
      <x:c r="G34" s="156"/>
      <x:c r="H34" s="156"/>
      <x:c r="I34" s="156"/>
      <x:c r="J34" s="156"/>
      <x:c r="K34" s="156"/>
    </x:row>
    <x:row r="35">
      <x:c r="A35" s="158" t="str">
        <x:v>2026-03 data are verified for 9 of 10 institutions. Echizen remains pending because the current official disclosure page available for verification still lists 2025 as the latest full-year report.</x:v>
      </x:c>
      <x:c r="B35" s="159"/>
      <x:c r="C35" s="159"/>
      <x:c r="D35" s="159"/>
      <x:c r="E35" s="160"/>
      <x:c r="F35" s="160"/>
      <x:c r="G35" s="160"/>
      <x:c r="H35" s="160"/>
      <x:c r="I35" s="160"/>
      <x:c r="J35" s="160"/>
      <x:c r="K35" s="160"/>
    </x:row>
    <x:row r="36">
      <x:c r="A36" s="18"/>
      <x:c r="B36" s="24"/>
      <x:c r="C36" s="24"/>
      <x:c r="D36" s="24"/>
      <x:c r="E36" s="12"/>
      <x:c r="F36" s="12"/>
      <x:c r="G36" s="12"/>
      <x:c r="H36" s="12"/>
      <x:c r="I36" s="12"/>
      <x:c r="J36" s="12"/>
      <x:c r="K36" s="12"/>
    </x:row>
    <x:row r="37">
      <x:c r="A37" s="152" t="str">
        <x:v>Institution</x:v>
      </x:c>
      <x:c r="B37" s="152" t="str">
        <x:v>2024 Ratio</x:v>
      </x:c>
      <x:c r="C37" s="152" t="str">
        <x:v>2025 Ratio</x:v>
      </x:c>
      <x:c r="D37" s="152" t="str">
        <x:v>2026 Ratio</x:v>
      </x:c>
      <x:c r="E37" s="152" t="str">
        <x:v>3-Year Direction</x:v>
      </x:c>
      <x:c r="F37" s="152" t="str">
        <x:v>2026 Read</x:v>
      </x:c>
      <x:c r="G37" s="12"/>
      <x:c r="H37" s="152" t="str">
        <x:v>2026 Cluster KPI</x:v>
      </x:c>
      <x:c r="I37" s="152" t="str">
        <x:v>Value</x:v>
      </x:c>
      <x:c r="J37" s="152" t="str">
        <x:v>Interpretation</x:v>
      </x:c>
      <x:c r="K37" s="152" t="str">
        <x:v>Scope</x:v>
      </x:c>
    </x:row>
    <x:row r="38">
      <x:c r="A38" s="12" t="str">
        <x:v>稚内信用金庫</x:v>
      </x:c>
      <x:c r="B38" s="16" t="n">
        <x:f>E2</x:f>
        <x:v>0.8620407386255473</x:v>
      </x:c>
      <x:c r="C38" s="16" t="n">
        <x:f>E3</x:f>
        <x:v>0.7460045876734479</x:v>
      </x:c>
      <x:c r="D38" s="16" t="n">
        <x:f>E4</x:f>
        <x:v>0.5859509385984594</x:v>
      </x:c>
      <x:c r="E38" s="12" t="str">
        <x:v>Improving for two consecutive years</x:v>
      </x:c>
      <x:c r="F38" s="12" t="str">
        <x:v>ΔEVE fell 21% YoY; capital was stable. Current ratio moved down to about 59%.</x:v>
      </x:c>
      <x:c r="G38" s="12"/>
      <x:c r="H38" s="12" t="str">
        <x:v>2026 verified</x:v>
      </x:c>
      <x:c r="I38" s="12" t="n">
        <x:v>9</x:v>
      </x:c>
      <x:c r="J38" s="12" t="str">
        <x:v>Nine official 2026 IRRBB pairs captured</x:v>
      </x:c>
      <x:c r="K38" s="12" t="str">
        <x:v>10 high-sensitivity institutions</x:v>
      </x:c>
    </x:row>
    <x:row r="39">
      <x:c r="A39" s="12" t="str">
        <x:v>上越信用金庫</x:v>
      </x:c>
      <x:c r="B39" s="16" t="n">
        <x:f>E5</x:f>
        <x:v>0.8146497950454464</x:v>
      </x:c>
      <x:c r="C39" s="16" t="n">
        <x:f>E6</x:f>
        <x:v>0.7513232180663373</x:v>
      </x:c>
      <x:c r="D39" s="16" t="n">
        <x:f>E7</x:f>
        <x:v>0.675698883694304</x:v>
      </x:c>
      <x:c r="E39" s="12" t="str">
        <x:v>Improving ratio, but capital weakened in 2026</x:v>
      </x:c>
      <x:c r="F39" s="12" t="str">
        <x:v>ΔEVE fell faster than capital, so ratio improved, but the capital denominator contracted.</x:v>
      </x:c>
      <x:c r="G39" s="12"/>
      <x:c r="H39" s="12" t="str">
        <x:v>2026 pending</x:v>
      </x:c>
      <x:c r="I39" s="12" t="n">
        <x:v>1</x:v>
      </x:c>
      <x:c r="J39" s="12" t="str">
        <x:v>Echizen left blank rather than inferred</x:v>
      </x:c>
      <x:c r="K39" s="12" t="str">
        <x:v>10 high-sensitivity institutions</x:v>
      </x:c>
    </x:row>
    <x:row r="40">
      <x:c r="A40" s="12" t="str">
        <x:v>八幡信用金庫</x:v>
      </x:c>
      <x:c r="B40" s="16" t="n">
        <x:f>E8</x:f>
        <x:v>0.5181047324395553</x:v>
      </x:c>
      <x:c r="C40" s="16" t="n">
        <x:f>E9</x:f>
        <x:v>0.7056119302573303</x:v>
      </x:c>
      <x:c r="D40" s="16" t="n">
        <x:f>E10</x:f>
        <x:v>0.8071573766984059</x:v>
      </x:c>
      <x:c r="E40" s="12" t="str">
        <x:v>Worsening for two consecutive years</x:v>
      </x:c>
      <x:c r="F40" s="12" t="str">
        <x:v>Only clear 2026 deterioration: ΔEVE rose again and ratio moved above 80% despite higher capital.</x:v>
      </x:c>
      <x:c r="G40" s="12"/>
      <x:c r="H40" s="12" t="str">
        <x:v>ΔEVE materially increased (&gt;5%)</x:v>
      </x:c>
      <x:c r="I40" s="12" t="n">
        <x:f>COUNTIFS(B2:B31,"2026-03",F2:F31,"&gt;0.05",J2:J31,"Verified")</x:f>
        <x:v>1</x:v>
      </x:c>
      <x:c r="J40" s="12" t="str">
        <x:v>Clear numerator deterioration</x:v>
      </x:c>
      <x:c r="K40" s="12" t="str">
        <x:v>2026 vs 2025, verified only</x:v>
      </x:c>
    </x:row>
    <x:row r="41">
      <x:c r="A41" s="12" t="str">
        <x:v>伊達信用金庫</x:v>
      </x:c>
      <x:c r="B41" s="16" t="n">
        <x:f>E11</x:f>
        <x:v>0.7211359404096834</x:v>
      </x:c>
      <x:c r="C41" s="16" t="n">
        <x:f>E12</x:f>
        <x:v>0.6307972112761443</x:v>
      </x:c>
      <x:c r="D41" s="16" t="n">
        <x:f>E13</x:f>
        <x:v>0.5696580558459011</x:v>
      </x:c>
      <x:c r="E41" s="12" t="str">
        <x:v>Improving for two consecutive years</x:v>
      </x:c>
      <x:c r="F41" s="12" t="str">
        <x:v>High structural sensitivity remains, but both 2025 and 2026 move in the improving direction.</x:v>
      </x:c>
      <x:c r="G41" s="12"/>
      <x:c r="H41" s="12" t="str">
        <x:v>ΔEVE materially decreased (&lt;-5%)</x:v>
      </x:c>
      <x:c r="I41" s="12" t="n">
        <x:f>COUNTIFS(B2:B31,"2026-03",F2:F31,"&lt;-0.05",J2:J31,"Verified")</x:f>
        <x:v>7</x:v>
      </x:c>
      <x:c r="J41" s="12" t="str">
        <x:v>Clear numerator improvement</x:v>
      </x:c>
      <x:c r="K41" s="12" t="str">
        <x:v>2026 vs 2025, verified only</x:v>
      </x:c>
    </x:row>
    <x:row r="42">
      <x:c r="A42" s="12" t="str">
        <x:v>銚子信用金庫</x:v>
      </x:c>
      <x:c r="B42" s="16" t="n">
        <x:f>E14</x:f>
        <x:v>0.68261361067149</x:v>
      </x:c>
      <x:c r="C42" s="16" t="n">
        <x:f>E15</x:f>
        <x:v>0.6302531808250867</x:v>
      </x:c>
      <x:c r="D42" s="16" t="n">
        <x:f>E16</x:f>
        <x:v>0.5036395429222074</x:v>
      </x:c>
      <x:c r="E42" s="12" t="str">
        <x:v>Improving for two consecutive years</x:v>
      </x:c>
      <x:c r="F42" s="12" t="str">
        <x:v>ΔEVE fell materially while capital increased; ratio moved to roughly 50%.</x:v>
      </x:c>
      <x:c r="G42" s="12"/>
      <x:c r="H42" s="12" t="str">
        <x:v>ΔEVE broadly flat (±5%)</x:v>
      </x:c>
      <x:c r="I42" s="12" t="n">
        <x:f>COUNTIFS(B2:B31,"2026-03",F2:F31,"&gt;=-0.05",F2:F31,"&lt;=0.05",J2:J31,"Verified")</x:f>
        <x:v>1</x:v>
      </x:c>
      <x:c r="J42" s="12" t="str">
        <x:v>No material numerator movement</x:v>
      </x:c>
      <x:c r="K42" s="12" t="str">
        <x:v>2026 vs 2025, verified only</x:v>
      </x:c>
    </x:row>
    <x:row r="43">
      <x:c r="A43" s="12" t="str">
        <x:v>新湊信用金庫</x:v>
      </x:c>
      <x:c r="B43" s="16" t="n">
        <x:f>E17</x:f>
        <x:v>0.5385943705750302</x:v>
      </x:c>
      <x:c r="C43" s="16" t="n">
        <x:f>E18</x:f>
        <x:v>0.5869454360020397</x:v>
      </x:c>
      <x:c r="D43" s="16" t="n">
        <x:f>E19</x:f>
        <x:v>0.5738188976377953</x:v>
      </x:c>
      <x:c r="E43" s="12" t="str">
        <x:v>2025 denominator shock; partial recovery in 2026</x:v>
      </x:c>
      <x:c r="F43" s="12" t="str">
        <x:v>Capital recovered modestly after the 2025 drop; ratio improved slightly.</x:v>
      </x:c>
      <x:c r="G43" s="12"/>
      <x:c r="H43" s="12" t="str">
        <x:v>Capital decreased</x:v>
      </x:c>
      <x:c r="I43" s="12" t="n">
        <x:f>COUNTIFS(B2:B31,"2026-03",G2:G31,"&lt;0",J2:J31,"Verified")</x:f>
        <x:v>1</x:v>
      </x:c>
      <x:c r="J43" s="12" t="str">
        <x:v>Denominator weakened</x:v>
      </x:c>
      <x:c r="K43" s="12" t="str">
        <x:v>2026 vs 2025, verified only</x:v>
      </x:c>
    </x:row>
    <x:row r="44">
      <x:c r="A44" s="12" t="str">
        <x:v>敦賀信用金庫</x:v>
      </x:c>
      <x:c r="B44" s="16" t="n">
        <x:f>E20</x:f>
        <x:v>0.6576119050431085</x:v>
      </x:c>
      <x:c r="C44" s="16" t="n">
        <x:f>E21</x:f>
        <x:v>0.5794895272976994</x:v>
      </x:c>
      <x:c r="D44" s="16" t="n">
        <x:f>E22</x:f>
        <x:v>0.4450273224043716</x:v>
      </x:c>
      <x:c r="E44" s="12" t="str">
        <x:v>Improving for two consecutive years</x:v>
      </x:c>
      <x:c r="F44" s="12" t="str">
        <x:v>Strong improvement; ratio fell below 50%.</x:v>
      </x:c>
      <x:c r="G44" s="12"/>
      <x:c r="H44" s="12" t="str">
        <x:v>Ratio worsened</x:v>
      </x:c>
      <x:c r="I44" s="12" t="n">
        <x:f>COUNTIFS(B2:B31,"2026-03",H2:H31,"&gt;0",J2:J31,"Verified")</x:f>
        <x:v>1</x:v>
      </x:c>
      <x:c r="J44" s="12" t="str">
        <x:v>Current sensitivity ratio increased</x:v>
      </x:c>
      <x:c r="K44" s="12" t="str">
        <x:v>2026 vs 2025, verified only</x:v>
      </x:c>
    </x:row>
    <x:row r="45">
      <x:c r="A45" s="12" t="str">
        <x:v>大地みらい信用金庫</x:v>
      </x:c>
      <x:c r="B45" s="16" t="n">
        <x:f>E23</x:f>
        <x:v>0.5550903258483877</x:v>
      </x:c>
      <x:c r="C45" s="16" t="n">
        <x:f>E24</x:f>
        <x:v>0.5430439520523066</x:v>
      </x:c>
      <x:c r="D45" s="16" t="n">
        <x:f>E25</x:f>
        <x:v>0.42007339213287836</x:v>
      </x:c>
      <x:c r="E45" s="12" t="str">
        <x:v>Flat in 2025, materially improved in 2026</x:v>
      </x:c>
      <x:c r="F45" s="12" t="str">
        <x:v>2026 shows a clear numerator improvement; ratio fell to roughly 42%.</x:v>
      </x:c>
      <x:c r="G45" s="12"/>
      <x:c r="H45" s="12" t="str">
        <x:v>2026 ratio &lt;50%</x:v>
      </x:c>
      <x:c r="I45" s="12" t="n">
        <x:f>COUNTIFS(B2:B31,"2026-03",E2:E31,"&lt;0.5",J2:J31,"Verified")</x:f>
        <x:v>3</x:v>
      </x:c>
      <x:c r="J45" s="12" t="str">
        <x:v>Moved below the original high-sensitivity cutoff</x:v>
      </x:c>
      <x:c r="K45" s="12" t="str">
        <x:v>Verified only</x:v>
      </x:c>
    </x:row>
    <x:row r="46">
      <x:c r="A46" s="12" t="str">
        <x:v>氷見伏木信用金庫</x:v>
      </x:c>
      <x:c r="B46" s="16" t="n">
        <x:f>E26</x:f>
        <x:v>0.5287999105245498</x:v>
      </x:c>
      <x:c r="C46" s="16" t="n">
        <x:f>E27</x:f>
        <x:v>0.5123839009287926</x:v>
      </x:c>
      <x:c r="D46" s="16" t="n">
        <x:f>E28</x:f>
        <x:v>0.47467105263157894</x:v>
      </x:c>
      <x:c r="E46" s="12" t="str">
        <x:v>Gradual improvement</x:v>
      </x:c>
      <x:c r="F46" s="12" t="str">
        <x:v>Continued improvement; ratio fell below 50%.</x:v>
      </x:c>
      <x:c r="G46" s="12"/>
      <x:c r="H46" s="12" t="str">
        <x:v>2026 ratio &gt;=70%</x:v>
      </x:c>
      <x:c r="I46" s="12" t="n">
        <x:f>COUNTIFS(B2:B31,"2026-03",E2:E31,"&gt;=0.7",J2:J31,"Verified")</x:f>
        <x:v>1</x:v>
      </x:c>
      <x:c r="J46" s="12" t="str">
        <x:v>Still extremely high on the disclosed ratio</x:v>
      </x:c>
      <x:c r="K46" s="12" t="str">
        <x:v>Verified only</x:v>
      </x:c>
    </x:row>
    <x:row r="47">
      <x:c r="A47" s="12" t="str">
        <x:v>越前信用金庫</x:v>
      </x:c>
      <x:c r="B47" s="16" t="n">
        <x:f>E29</x:f>
        <x:v>0.5545150122027357</x:v>
      </x:c>
      <x:c r="C47" s="16" t="n">
        <x:f>E30</x:f>
        <x:v>0.5017388377832623</x:v>
      </x:c>
      <x:c r="D47" s="16" t="n">
        <x:f>E31</x:f>
        <x:v>0</x:v>
      </x:c>
      <x:c r="E47" s="12" t="str">
        <x:v>2026 pending</x:v>
      </x:c>
      <x:c r="F47" s="12" t="str">
        <x:v>No 2026 value entered until an official target-year IRRBB disclosure is available.</x:v>
      </x:c>
      <x:c r="G47" s="12"/>
      <x:c r="H47" s="12"/>
      <x:c r="I47" s="12"/>
      <x:c r="J47" s="12"/>
      <x:c r="K47" s="12"/>
    </x:row>
  </x:sheetData>
  <x:mergeCells>
    <x:mergeCell ref="A13:K13"/>
    <x:mergeCell ref="A14:K14"/>
    <x:mergeCell ref="A23:K23"/>
    <x:mergeCell ref="A24:K24"/>
    <x:mergeCell ref="A34:K34"/>
    <x:mergeCell ref="A35:K35"/>
  </x:mergeCells>
  <x:conditionalFormatting sqref="E2:E11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conditionalFormatting sqref="D17:D21">
    <x:cfRule type="colorScale" priority="2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conditionalFormatting sqref="E2:E21">
    <x:cfRule type="colorScale" priority="3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conditionalFormatting sqref="D27:D36">
    <x:cfRule type="colorScale" priority="4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conditionalFormatting sqref="E2:E31">
    <x:cfRule type="colorScale" priority="5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pageMargins left="0.7" right="0.7" top="0.75" bottom="0.75" header="0.3" footer="0.3"/>
  <x:drawing xmlns:r="http://schemas.openxmlformats.org/officeDocument/2006/relationships" r:id="R247deb8972864366"/>
</x:worksheet>
</file>

<file path=xl/worksheets/sheet10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5" hidden="0" customWidth="1"/>
    <x:col min="3" max="3" width="15" hidden="0" customWidth="1"/>
    <x:col min="4" max="4" width="14" hidden="0" customWidth="1"/>
    <x:col min="5" max="5" width="15" hidden="0" customWidth="1"/>
    <x:col min="6" max="6" width="15" hidden="0" customWidth="1"/>
    <x:col min="7" max="7" width="14" hidden="0" customWidth="1"/>
    <x:col min="8" max="8" width="18" hidden="0" customWidth="1"/>
    <x:col min="9" max="9" width="18" hidden="0" customWidth="1"/>
    <x:col min="10" max="10" width="18" hidden="0" customWidth="1"/>
    <x:col min="11" max="11" width="34" hidden="0" customWidth="1"/>
    <x:col min="12" max="12" width="58" hidden="0" customWidth="1"/>
    <x:col min="13" max="13" width="16" hidden="0" customWidth="1"/>
    <x:col min="14" max="14" width="64" hidden="0" customWidth="1"/>
  </x:cols>
  <x:sheetData>
    <x:row r="1">
      <x:c r="A1" s="148" t="str">
        <x:v>Institution</x:v>
      </x:c>
      <x:c r="B1" s="148" t="str">
        <x:v>2025 ΔEVE</x:v>
      </x:c>
      <x:c r="C1" s="148" t="str">
        <x:v>2026 ΔEVE</x:v>
      </x:c>
      <x:c r="D1" s="148" t="str">
        <x:v>ΔEVE YoY</x:v>
      </x:c>
      <x:c r="E1" s="148" t="str">
        <x:v>2025 Capital</x:v>
      </x:c>
      <x:c r="F1" s="148" t="str">
        <x:v>2026 Capital</x:v>
      </x:c>
      <x:c r="G1" s="148" t="str">
        <x:v>Capital YoY</x:v>
      </x:c>
      <x:c r="H1" s="148" t="str">
        <x:v>2025 ΔEVE/Capital</x:v>
      </x:c>
      <x:c r="I1" s="148" t="str">
        <x:v>2026 ΔEVE/Capital</x:v>
      </x:c>
      <x:c r="J1" s="148" t="str">
        <x:v>Ratio Change (ppt)</x:v>
      </x:c>
      <x:c r="K1" s="148" t="str">
        <x:v>2024→2026 Direction</x:v>
      </x:c>
      <x:c r="L1" s="148" t="str">
        <x:v>2026 Structural Read</x:v>
      </x:c>
      <x:c r="M1" s="148" t="str">
        <x:v>Verification</x:v>
      </x:c>
      <x:c r="N1" s="148" t="str">
        <x:v>Primary Source</x:v>
      </x:c>
    </x:row>
    <x:row r="2">
      <x:c r="A2" s="18" t="str">
        <x:v>稚内信用金庫</x:v>
      </x:c>
      <x:c r="B2" s="19" t="n">
        <x:v>39677</x:v>
      </x:c>
      <x:c r="C2" s="19" t="n">
        <x:v>31339</x:v>
      </x:c>
      <x:c r="D2" s="24" t="n">
        <x:f>IF(OR(B2="",C2=""),"",C2/B2-1)</x:f>
        <x:v>-0.21014693651233707</x:v>
      </x:c>
      <x:c r="E2" s="19" t="n">
        <x:v>53186</x:v>
      </x:c>
      <x:c r="F2" s="19" t="n">
        <x:v>53484</x:v>
      </x:c>
      <x:c r="G2" s="24" t="n">
        <x:f>IF(OR(E2="",F2=""),"",F2/E2-1)</x:f>
        <x:v>0.005602978227353006</x:v>
      </x:c>
      <x:c r="H2" s="24" t="n">
        <x:f>IF(OR(B2="",E2=""),"",B2/E2)</x:f>
        <x:v>0.7460045876734479</x:v>
      </x:c>
      <x:c r="I2" s="24" t="n">
        <x:f>IF(OR(C2="",F2=""),"",C2/F2)</x:f>
        <x:v>0.5859509385984594</x:v>
      </x:c>
      <x:c r="J2" s="24" t="n">
        <x:f>IF(OR(H2="",I2=""),"",I2-H2)</x:f>
        <x:v>-0.16005364907498854</x:v>
      </x:c>
      <x:c r="K2" s="18" t="str">
        <x:v>Improving for two consecutive years</x:v>
      </x:c>
      <x:c r="L2" s="18" t="str">
        <x:v>ΔEVE fell 21% YoY; capital was stable. Current ratio moved down to about 59%.</x:v>
      </x:c>
      <x:c r="M2" s="18" t="str">
        <x:v>Verified</x:v>
      </x:c>
      <x:c r="N2" s="18" t="str">
        <x:v>https://www.shinkin.co.jp/wakashin/assets/pdf/07-disclo/year-2026_2025-r07-82-2/82-2_12.pdf</x:v>
      </x:c>
    </x:row>
    <x:row r="3">
      <x:c r="A3" s="18" t="str">
        <x:v>上越信用金庫</x:v>
      </x:c>
      <x:c r="B3" s="19" t="n">
        <x:v>8517</x:v>
      </x:c>
      <x:c r="C3" s="19" t="n">
        <x:v>7082</x:v>
      </x:c>
      <x:c r="D3" s="24" t="n">
        <x:f>IF(OR(B3="",C3=""),"",C3/B3-1)</x:f>
        <x:v>-0.16848655629916642</x:v>
      </x:c>
      <x:c r="E3" s="19" t="n">
        <x:v>11336</x:v>
      </x:c>
      <x:c r="F3" s="19" t="n">
        <x:v>10481</x:v>
      </x:c>
      <x:c r="G3" s="24" t="n">
        <x:f>IF(OR(E3="",F3=""),"",F3/E3-1)</x:f>
        <x:v>-0.07542342978122796</x:v>
      </x:c>
      <x:c r="H3" s="24" t="n">
        <x:f>IF(OR(B3="",E3=""),"",B3/E3)</x:f>
        <x:v>0.7513232180663373</x:v>
      </x:c>
      <x:c r="I3" s="24" t="n">
        <x:f>IF(OR(C3="",F3=""),"",C3/F3)</x:f>
        <x:v>0.675698883694304</x:v>
      </x:c>
      <x:c r="J3" s="24" t="n">
        <x:f>IF(OR(H3="",I3=""),"",I3-H3)</x:f>
        <x:v>-0.07562433437203331</x:v>
      </x:c>
      <x:c r="K3" s="18" t="str">
        <x:v>Improving ratio, but capital weakened in 2026</x:v>
      </x:c>
      <x:c r="L3" s="18" t="str">
        <x:v>ΔEVE fell faster than capital, so ratio improved, but the capital denominator contracted.</x:v>
      </x:c>
      <x:c r="M3" s="18" t="str">
        <x:v>Verified</x:v>
      </x:c>
      <x:c r="N3" s="18" t="str">
        <x:v>https://www.joetsu-shinkin.jp/files/about/disclosure/disclosure_202603.pdf</x:v>
      </x:c>
    </x:row>
    <x:row r="4">
      <x:c r="A4" s="18" t="str">
        <x:v>八幡信用金庫</x:v>
      </x:c>
      <x:c r="B4" s="19" t="n">
        <x:v>12586</x:v>
      </x:c>
      <x:c r="C4" s="19" t="n">
        <x:v>15089</x:v>
      </x:c>
      <x:c r="D4" s="24" t="n">
        <x:f>IF(OR(B4="",C4=""),"",C4/B4-1)</x:f>
        <x:v>0.19887176227554426</x:v>
      </x:c>
      <x:c r="E4" s="19" t="n">
        <x:v>17837</x:v>
      </x:c>
      <x:c r="F4" s="19" t="n">
        <x:v>18694</x:v>
      </x:c>
      <x:c r="G4" s="24" t="n">
        <x:f>IF(OR(E4="",F4=""),"",F4/E4-1)</x:f>
        <x:v>0.048046196109211126</x:v>
      </x:c>
      <x:c r="H4" s="24" t="n">
        <x:f>IF(OR(B4="",E4=""),"",B4/E4)</x:f>
        <x:v>0.7056119302573303</x:v>
      </x:c>
      <x:c r="I4" s="24" t="n">
        <x:f>IF(OR(C4="",F4=""),"",C4/F4)</x:f>
        <x:v>0.8071573766984059</x:v>
      </x:c>
      <x:c r="J4" s="24" t="n">
        <x:f>IF(OR(H4="",I4=""),"",I4-H4)</x:f>
        <x:v>0.10154544644107566</x:v>
      </x:c>
      <x:c r="K4" s="18" t="str">
        <x:v>Worsening for two consecutive years</x:v>
      </x:c>
      <x:c r="L4" s="18" t="str">
        <x:v>Only clear 2026 deterioration: ΔEVE rose again and ratio moved above 80% despite higher capital.</x:v>
      </x:c>
      <x:c r="M4" s="18" t="str">
        <x:v>Verified</x:v>
      </x:c>
      <x:c r="N4" s="18" t="str">
        <x:v>https://www.shinkin.co.jp/hachiman/disclo/2026/parts_hon/18jikoshihon.pdf</x:v>
      </x:c>
    </x:row>
    <x:row r="5">
      <x:c r="A5" s="18" t="str">
        <x:v>伊達信用金庫</x:v>
      </x:c>
      <x:c r="B5" s="19" t="n">
        <x:v>4162</x:v>
      </x:c>
      <x:c r="C5" s="19" t="n">
        <x:v>3815</x:v>
      </x:c>
      <x:c r="D5" s="24" t="n">
        <x:f>IF(OR(B5="",C5=""),"",C5/B5-1)</x:f>
        <x:v>-0.0833733781835656</x:v>
      </x:c>
      <x:c r="E5" s="19" t="n">
        <x:v>6598</x:v>
      </x:c>
      <x:c r="F5" s="19" t="n">
        <x:v>6697</x:v>
      </x:c>
      <x:c r="G5" s="24" t="n">
        <x:f>IF(OR(E5="",F5=""),"",F5/E5-1)</x:f>
        <x:v>0.0150045468323734</x:v>
      </x:c>
      <x:c r="H5" s="24" t="n">
        <x:f>IF(OR(B5="",E5=""),"",B5/E5)</x:f>
        <x:v>0.6307972112761443</x:v>
      </x:c>
      <x:c r="I5" s="24" t="n">
        <x:f>IF(OR(C5="",F5=""),"",C5/F5)</x:f>
        <x:v>0.5696580558459011</x:v>
      </x:c>
      <x:c r="J5" s="24" t="n">
        <x:f>IF(OR(H5="",I5=""),"",I5-H5)</x:f>
        <x:v>-0.061139155430243175</x:v>
      </x:c>
      <x:c r="K5" s="18" t="str">
        <x:v>Improving for two consecutive years</x:v>
      </x:c>
      <x:c r="L5" s="18" t="str">
        <x:v>High structural sensitivity remains, but both 2025 and 2026 move in the improving direction.</x:v>
      </x:c>
      <x:c r="M5" s="18" t="str">
        <x:v>Verified</x:v>
      </x:c>
      <x:c r="N5" s="18" t="str">
        <x:v>https://www.shinkin.co.jp/dateshin/common/asset/data/pdf/report2026.pdf</x:v>
      </x:c>
    </x:row>
    <x:row r="6">
      <x:c r="A6" s="18" t="str">
        <x:v>銚子信用金庫</x:v>
      </x:c>
      <x:c r="B6" s="19" t="n">
        <x:v>14712</x:v>
      </x:c>
      <x:c r="C6" s="19" t="n">
        <x:v>12385</x:v>
      </x:c>
      <x:c r="D6" s="24" t="n">
        <x:f>IF(OR(B6="",C6=""),"",C6/B6-1)</x:f>
        <x:v>-0.15817020119630232</x:v>
      </x:c>
      <x:c r="E6" s="19" t="n">
        <x:v>23343</x:v>
      </x:c>
      <x:c r="F6" s="19" t="n">
        <x:v>24591</x:v>
      </x:c>
      <x:c r="G6" s="24" t="n">
        <x:f>IF(OR(E6="",F6=""),"",F6/E6-1)</x:f>
        <x:v>0.05346356509446082</x:v>
      </x:c>
      <x:c r="H6" s="24" t="n">
        <x:f>IF(OR(B6="",E6=""),"",B6/E6)</x:f>
        <x:v>0.6302531808250867</x:v>
      </x:c>
      <x:c r="I6" s="24" t="n">
        <x:f>IF(OR(C6="",F6=""),"",C6/F6)</x:f>
        <x:v>0.5036395429222074</x:v>
      </x:c>
      <x:c r="J6" s="24" t="n">
        <x:f>IF(OR(H6="",I6=""),"",I6-H6)</x:f>
        <x:v>-0.12661363790287938</x:v>
      </x:c>
      <x:c r="K6" s="18" t="str">
        <x:v>Improving for two consecutive years</x:v>
      </x:c>
      <x:c r="L6" s="18" t="str">
        <x:v>ΔEVE fell materially while capital increased; ratio moved to roughly 50%.</x:v>
      </x:c>
      <x:c r="M6" s="18" t="str">
        <x:v>Verified</x:v>
      </x:c>
      <x:c r="N6" s="18" t="str">
        <x:v>https://www.choshi-shinkin.co.jp/kigyo/disclosure/files/2026P12-31.pdf</x:v>
      </x:c>
    </x:row>
    <x:row r="7">
      <x:c r="A7" s="18" t="str">
        <x:v>新湊信用金庫</x:v>
      </x:c>
      <x:c r="B7" s="19" t="n">
        <x:v>2302</x:v>
      </x:c>
      <x:c r="C7" s="19" t="n">
        <x:v>2332</x:v>
      </x:c>
      <x:c r="D7" s="24" t="n">
        <x:f>IF(OR(B7="",C7=""),"",C7/B7-1)</x:f>
        <x:v>0.013032145960034658</x:v>
      </x:c>
      <x:c r="E7" s="19" t="n">
        <x:v>3922</x:v>
      </x:c>
      <x:c r="F7" s="19" t="n">
        <x:v>4064</x:v>
      </x:c>
      <x:c r="G7" s="24" t="n">
        <x:f>IF(OR(E7="",F7=""),"",F7/E7-1)</x:f>
        <x:v>0.0362060173380927</x:v>
      </x:c>
      <x:c r="H7" s="24" t="n">
        <x:f>IF(OR(B7="",E7=""),"",B7/E7)</x:f>
        <x:v>0.5869454360020397</x:v>
      </x:c>
      <x:c r="I7" s="24" t="n">
        <x:f>IF(OR(C7="",F7=""),"",C7/F7)</x:f>
        <x:v>0.5738188976377953</x:v>
      </x:c>
      <x:c r="J7" s="24" t="n">
        <x:f>IF(OR(H7="",I7=""),"",I7-H7)</x:f>
        <x:v>-0.013126538364244489</x:v>
      </x:c>
      <x:c r="K7" s="18" t="str">
        <x:v>2025 denominator shock; partial recovery in 2026</x:v>
      </x:c>
      <x:c r="L7" s="18" t="str">
        <x:v>Capital recovered modestly after the 2025 drop; ratio improved slightly.</x:v>
      </x:c>
      <x:c r="M7" s="18" t="str">
        <x:v>Verified</x:v>
      </x:c>
      <x:c r="N7" s="18" t="str">
        <x:v>https://www.shinkin.co.jp/s-minato/about/data/disclosure_2026.pdf</x:v>
      </x:c>
    </x:row>
    <x:row r="8">
      <x:c r="A8" s="18" t="str">
        <x:v>敦賀信用金庫</x:v>
      </x:c>
      <x:c r="B8" s="19" t="n">
        <x:v>5063</x:v>
      </x:c>
      <x:c r="C8" s="19" t="n">
        <x:v>4072</x:v>
      </x:c>
      <x:c r="D8" s="24" t="n">
        <x:f>IF(OR(B8="",C8=""),"",C8/B8-1)</x:f>
        <x:v>-0.1957337546908947</x:v>
      </x:c>
      <x:c r="E8" s="19" t="n">
        <x:v>8737</x:v>
      </x:c>
      <x:c r="F8" s="19" t="n">
        <x:v>9150</x:v>
      </x:c>
      <x:c r="G8" s="24" t="n">
        <x:f>IF(OR(E8="",F8=""),"",F8/E8-1)</x:f>
        <x:v>0.04727023005608322</x:v>
      </x:c>
      <x:c r="H8" s="24" t="n">
        <x:f>IF(OR(B8="",E8=""),"",B8/E8)</x:f>
        <x:v>0.5794895272976994</x:v>
      </x:c>
      <x:c r="I8" s="24" t="n">
        <x:f>IF(OR(C8="",F8=""),"",C8/F8)</x:f>
        <x:v>0.4450273224043716</x:v>
      </x:c>
      <x:c r="J8" s="24" t="n">
        <x:f>IF(OR(H8="",I8=""),"",I8-H8)</x:f>
        <x:v>-0.13446220489332783</x:v>
      </x:c>
      <x:c r="K8" s="18" t="str">
        <x:v>Improving for two consecutive years</x:v>
      </x:c>
      <x:c r="L8" s="18" t="str">
        <x:v>Strong improvement; ratio fell below 50%.</x:v>
      </x:c>
      <x:c r="M8" s="18" t="str">
        <x:v>Verified</x:v>
      </x:c>
      <x:c r="N8" s="18" t="str">
        <x:v>https://www.shinkin.co.jp/tsuruga/about/disc/pdf/kaiji.pdf</x:v>
      </x:c>
    </x:row>
    <x:row r="9">
      <x:c r="A9" s="18" t="str">
        <x:v>大地みらい信用金庫</x:v>
      </x:c>
      <x:c r="B9" s="19" t="n">
        <x:v>16445</x:v>
      </x:c>
      <x:c r="C9" s="19" t="n">
        <x:v>13050</x:v>
      </x:c>
      <x:c r="D9" s="24" t="n">
        <x:f>IF(OR(B9="",C9=""),"",C9/B9-1)</x:f>
        <x:v>-0.20644572818485862</x:v>
      </x:c>
      <x:c r="E9" s="19" t="n">
        <x:v>30283</x:v>
      </x:c>
      <x:c r="F9" s="19" t="n">
        <x:v>31066</x:v>
      </x:c>
      <x:c r="G9" s="24" t="n">
        <x:f>IF(OR(E9="",F9=""),"",F9/E9-1)</x:f>
        <x:v>0.025856090876068993</x:v>
      </x:c>
      <x:c r="H9" s="24" t="n">
        <x:f>IF(OR(B9="",E9=""),"",B9/E9)</x:f>
        <x:v>0.5430439520523066</x:v>
      </x:c>
      <x:c r="I9" s="24" t="n">
        <x:f>IF(OR(C9="",F9=""),"",C9/F9)</x:f>
        <x:v>0.42007339213287836</x:v>
      </x:c>
      <x:c r="J9" s="24" t="n">
        <x:f>IF(OR(H9="",I9=""),"",I9-H9)</x:f>
        <x:v>-0.12297055991942824</x:v>
      </x:c>
      <x:c r="K9" s="18" t="str">
        <x:v>Flat in 2025, materially improved in 2026</x:v>
      </x:c>
      <x:c r="L9" s="18" t="str">
        <x:v>2026 shows a clear numerator improvement; ratio fell to roughly 42%.</x:v>
      </x:c>
      <x:c r="M9" s="18" t="str">
        <x:v>Verified</x:v>
      </x:c>
      <x:c r="N9" s="18" t="str">
        <x:v>https://www.shinkin.co.jp/daichimirai/company/disclosure/2026/2026_document.pdf</x:v>
      </x:c>
    </x:row>
    <x:row r="10">
      <x:c r="A10" s="18" t="str">
        <x:v>氷見伏木信用金庫</x:v>
      </x:c>
      <x:c r="B10" s="19" t="n">
        <x:v>4634</x:v>
      </x:c>
      <x:c r="C10" s="19" t="n">
        <x:v>4329</x:v>
      </x:c>
      <x:c r="D10" s="24" t="n">
        <x:f>IF(OR(B10="",C10=""),"",C10/B10-1)</x:f>
        <x:v>-0.06581786793267153</x:v>
      </x:c>
      <x:c r="E10" s="19" t="n">
        <x:v>9044</x:v>
      </x:c>
      <x:c r="F10" s="19" t="n">
        <x:v>9120</x:v>
      </x:c>
      <x:c r="G10" s="24" t="n">
        <x:f>IF(OR(E10="",F10=""),"",F10/E10-1)</x:f>
        <x:v>0.008403361344537785</x:v>
      </x:c>
      <x:c r="H10" s="24" t="n">
        <x:f>IF(OR(B10="",E10=""),"",B10/E10)</x:f>
        <x:v>0.5123839009287926</x:v>
      </x:c>
      <x:c r="I10" s="24" t="n">
        <x:f>IF(OR(C10="",F10=""),"",C10/F10)</x:f>
        <x:v>0.47467105263157894</x:v>
      </x:c>
      <x:c r="J10" s="24" t="n">
        <x:f>IF(OR(H10="",I10=""),"",I10-H10)</x:f>
        <x:v>-0.037712848297213664</x:v>
      </x:c>
      <x:c r="K10" s="18" t="str">
        <x:v>Gradual improvement</x:v>
      </x:c>
      <x:c r="L10" s="18" t="str">
        <x:v>Continued improvement; ratio fell below 50%.</x:v>
      </x:c>
      <x:c r="M10" s="18" t="str">
        <x:v>Verified</x:v>
      </x:c>
      <x:c r="N10" s="18" t="str">
        <x:v>https://www.shinkin.co.jp/himifusi/assets/pdf/aboutus/disclosure202603.pdf</x:v>
      </x:c>
    </x:row>
    <x:row r="11">
      <x:c r="A11" s="18" t="str">
        <x:v>越前信用金庫</x:v>
      </x:c>
      <x:c r="B11" s="19" t="n">
        <x:v>8945</x:v>
      </x:c>
      <x:c r="C11" s="19"/>
      <x:c r="D11" s="24" t="str">
        <x:f>IF(OR(B11="",C11=""),"",C11/B11-1)</x:f>
      </x:c>
      <x:c r="E11" s="19" t="n">
        <x:v>17828</x:v>
      </x:c>
      <x:c r="F11" s="19"/>
      <x:c r="G11" s="24" t="str">
        <x:f>IF(OR(E11="",F11=""),"",F11/E11-1)</x:f>
      </x:c>
      <x:c r="H11" s="24" t="n">
        <x:f>IF(OR(B11="",E11=""),"",B11/E11)</x:f>
        <x:v>0.5017388377832623</x:v>
      </x:c>
      <x:c r="I11" s="24" t="str">
        <x:f>IF(OR(C11="",F11=""),"",C11/F11)</x:f>
      </x:c>
      <x:c r="J11" s="24" t="str">
        <x:f>IF(OR(H11="",I11=""),"",I11-H11)</x:f>
      </x:c>
      <x:c r="K11" s="18" t="str">
        <x:v>2026 pending</x:v>
      </x:c>
      <x:c r="L11" s="18" t="str">
        <x:v>No 2026 value entered until an official target-year IRRBB disclosure is available.</x:v>
      </x:c>
      <x:c r="M11" s="18" t="str">
        <x:v>Pending</x:v>
      </x:c>
      <x:c r="N11" s="18" t="str">
        <x:v>https://www.shinkin.co.jp/echishin/disclobanner/index.html</x:v>
      </x:c>
    </x:row>
  </x:sheetData>
  <x:conditionalFormatting sqref="J2:J11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conditionalFormatting sqref="M2:M11">
    <x:cfRule type="expression" dxfId="8" priority="2">
      <x:formula>M2="Pending"</x:formula>
    </x:cfRule>
  </x:conditionalFormatting>
  <x:pageMargins left="0.7" right="0.7" top="0.75" bottom="0.75" header="0.3" footer="0.3"/>
</x:worksheet>
</file>