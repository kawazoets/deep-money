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aece09920b4f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Data" sheetId="1" r:id="Rd18fd1fd0b30423d"/>
    <x:sheet xmlns:r="http://schemas.openxmlformats.org/officeDocument/2006/relationships" name="Sources" sheetId="2" r:id="R4635e2005ad441e1"/>
    <x:sheet xmlns:r="http://schemas.openxmlformats.org/officeDocument/2006/relationships" name="Read_Me" sheetId="3" r:id="Ree1ccd31ac2d4c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-"/>
    <x:numFmt numFmtId="201" formatCode="0.00%;[Red](0.00%);-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0b62d198ee44f8" /><Relationship Type="http://schemas.openxmlformats.org/officeDocument/2006/relationships/theme" Target="/xl/theme/theme1.xml" Id="Ra46f0d59f6f04396" /><Relationship Type="http://schemas.openxmlformats.org/officeDocument/2006/relationships/sharedStrings" Target="/xl/sharedStrings.xml" Id="R6c5c39661810470a" /><Relationship Type="http://schemas.openxmlformats.org/officeDocument/2006/relationships/worksheet" Target="/xl/worksheets/sheet1.xml" Id="Rd18fd1fd0b30423d" /><Relationship Type="http://schemas.openxmlformats.org/officeDocument/2006/relationships/worksheet" Target="/xl/worksheets/sheet2.xml" Id="R4635e2005ad441e1" /><Relationship Type="http://schemas.openxmlformats.org/officeDocument/2006/relationships/worksheet" Target="/xl/worksheets/sheet3.xml" Id="Ree1ccd31ac2d4c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.5" hidden="0" customWidth="1"/>
    <x:col min="3" max="3" width="22" hidden="0" customWidth="1"/>
    <x:col min="4" max="4" width="22" hidden="0" customWidth="1"/>
    <x:col min="5" max="5" width="14.630000114440918" hidden="0" customWidth="1"/>
    <x:col min="6" max="6" width="12.380000114440918" hidden="0" customWidth="1"/>
    <x:col min="7" max="7" width="18.25" hidden="0" customWidth="1"/>
    <x:col min="8" max="8" width="22" hidden="0" customWidth="1"/>
    <x:col min="9" max="9" width="15.75" hidden="0" customWidth="1"/>
    <x:col min="10" max="10" width="11.25" hidden="0" customWidth="1"/>
    <x:col min="11" max="11" width="18.3799991607666" hidden="0" customWidth="1"/>
    <x:col min="12" max="12" width="11.380000114440918" hidden="0" customWidth="1"/>
    <x:col min="13" max="13" width="27.8799991607666" hidden="0" customWidth="1"/>
    <x:col min="14" max="14" width="18.5" hidden="0" customWidth="1"/>
    <x:col min="15" max="15" width="22" hidden="0" customWidth="1"/>
    <x:col min="16" max="16" width="16" hidden="0" customWidth="1"/>
  </x:cols>
  <x:sheetData>
    <x:row r="1">
      <x:c r="A1" s="6" t="str">
        <x:v>Institution</x:v>
      </x:c>
      <x:c r="B1" s="6" t="str">
        <x:v>Prefecture</x:v>
      </x:c>
      <x:c r="C1" s="6" t="str">
        <x:v>Balance Sheet Date</x:v>
      </x:c>
      <x:c r="D1" s="6" t="str">
        <x:v>IRRBB Date</x:v>
      </x:c>
      <x:c r="E1" s="6" t="str">
        <x:v>Deposits (JPY mm)</x:v>
      </x:c>
      <x:c r="F1" s="6" t="str">
        <x:v>Loans (JPY mm)</x:v>
      </x:c>
      <x:c r="G1" s="6" t="str">
        <x:v>Reported Loan/Deposit</x:v>
      </x:c>
      <x:c r="H1" s="6" t="str">
        <x:v>Reported Securities/Deposit</x:v>
      </x:c>
      <x:c r="I1" s="6" t="str">
        <x:v>ΔEVE Max (JPY mm)</x:v>
      </x:c>
      <x:c r="J1" s="6" t="str">
        <x:v>ΔNII (JPY mm)</x:v>
      </x:c>
      <x:c r="K1" s="6" t="str">
        <x:v>IRRBB Capital (JPY mm)</x:v>
      </x:c>
      <x:c r="L1" s="6" t="str">
        <x:v>ΔEVE / Capital</x:v>
      </x:c>
      <x:c r="M1" s="6" t="str">
        <x:v>Other Securities Valuation (JPY mm)</x:v>
      </x:c>
      <x:c r="N1" s="6" t="str">
        <x:v>JGB Valuation (JPY mm)</x:v>
      </x:c>
      <x:c r="O1" s="6" t="str">
        <x:v>Data Status</x:v>
      </x:c>
      <x:c r="P1" s="6" t="str">
        <x:v>Source ID</x:v>
      </x:c>
    </x:row>
    <x:row r="2">
      <x:c r="A2" s="18" t="str">
        <x:v>Wakkanai Shinkin Bank</x:v>
      </x:c>
      <x:c r="B2" s="18" t="str">
        <x:v>Hokkaido</x:v>
      </x:c>
      <x:c r="C2" s="18" t="str">
        <x:v>2025-09-30</x:v>
      </x:c>
      <x:c r="D2" s="18" t="str">
        <x:v>2025-09-30</x:v>
      </x:c>
      <x:c r="E2" s="19" t="n">
        <x:v>469239</x:v>
      </x:c>
      <x:c r="F2" s="19" t="n">
        <x:v>76206</x:v>
      </x:c>
      <x:c r="G2" s="20" t="n">
        <x:v>0.1624</x:v>
      </x:c>
      <x:c r="H2" s="20" t="n">
        <x:v>0.5438</x:v>
      </x:c>
      <x:c r="I2" s="19" t="n">
        <x:v>36377</x:v>
      </x:c>
      <x:c r="J2" s="19" t="n">
        <x:v>834</x:v>
      </x:c>
      <x:c r="K2" s="19" t="n">
        <x:v>53340</x:v>
      </x:c>
      <x:c r="L2" s="24" t="n">
        <x:f>IFERROR(I2/K2,"")</x:f>
        <x:v>0.6819835020622422</x:v>
      </x:c>
      <x:c r="M2" s="19"/>
      <x:c r="N2" s="19"/>
      <x:c r="O2" s="18" t="str">
        <x:v>Pilot — BS + IRRBB</x:v>
      </x:c>
      <x:c r="P2" s="18" t="str">
        <x:v>WAK-2025H1</x:v>
      </x:c>
    </x:row>
    <x:row r="3">
      <x:c r="A3" s="18" t="str">
        <x:v>Kyoto Shinkin Bank</x:v>
      </x:c>
      <x:c r="B3" s="18" t="str">
        <x:v>Kyoto</x:v>
      </x:c>
      <x:c r="C3" s="26" t="str">
        <x:v>2025-09-30</x:v>
      </x:c>
      <x:c r="D3" s="26" t="str">
        <x:v>2025-03-31</x:v>
      </x:c>
      <x:c r="E3" s="19"/>
      <x:c r="F3" s="19" t="n">
        <x:v>1889200</x:v>
      </x:c>
      <x:c r="G3" s="20"/>
      <x:c r="H3" s="20"/>
      <x:c r="I3" s="19" t="n">
        <x:v>1948</x:v>
      </x:c>
      <x:c r="J3" s="19" t="n">
        <x:v>6739</x:v>
      </x:c>
      <x:c r="K3" s="19" t="n">
        <x:v>116358</x:v>
      </x:c>
      <x:c r="L3" s="24" t="n">
        <x:f>IFERROR(I3/K3,"")</x:f>
        <x:v>0.01674143591330205</x:v>
      </x:c>
      <x:c r="M3" s="19" t="n">
        <x:v>-46600</x:v>
      </x:c>
      <x:c r="N3" s="19" t="n">
        <x:v>-21400</x:v>
      </x:c>
      <x:c r="O3" s="18" t="str">
        <x:v>Pilot — mixed reference dates</x:v>
      </x:c>
      <x:c r="P3" s="18" t="str">
        <x:v>KYO-2025</x:v>
      </x:c>
    </x:row>
    <x:row r="4">
      <x:c r="A4" s="18" t="str">
        <x:v>Seto Shinkin Bank</x:v>
      </x:c>
      <x:c r="B4" s="18" t="str">
        <x:v>Aichi</x:v>
      </x:c>
      <x:c r="C4" s="18"/>
      <x:c r="D4" s="18" t="str">
        <x:v>2025-03-31</x:v>
      </x:c>
      <x:c r="E4" s="19"/>
      <x:c r="F4" s="19"/>
      <x:c r="G4" s="20"/>
      <x:c r="H4" s="20"/>
      <x:c r="I4" s="19" t="n">
        <x:v>19405</x:v>
      </x:c>
      <x:c r="J4" s="19" t="n">
        <x:v>1185</x:v>
      </x:c>
      <x:c r="K4" s="19" t="n">
        <x:v>132094</x:v>
      </x:c>
      <x:c r="L4" s="24" t="n">
        <x:f>IFERROR(I4/K4,"")</x:f>
        <x:v>0.14690296304147046</x:v>
      </x:c>
      <x:c r="M4" s="19"/>
      <x:c r="N4" s="19"/>
      <x:c r="O4" s="18" t="str">
        <x:v>Pilot — IRRBB only</x:v>
      </x:c>
      <x:c r="P4" s="18" t="str">
        <x:v>SETO-2025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130000114440918" hidden="0" customWidth="1"/>
    <x:col min="2" max="2" width="17.6299991607666" hidden="0" customWidth="1"/>
    <x:col min="3" max="3" width="19.25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Source ID</x:v>
      </x:c>
      <x:c r="B1" s="6" t="str">
        <x:v>Institution</x:v>
      </x:c>
      <x:c r="C1" s="6" t="str">
        <x:v>Reference Date</x:v>
      </x:c>
      <x:c r="D1" s="6" t="str">
        <x:v>Document</x:v>
      </x:c>
      <x:c r="E1" s="6" t="str">
        <x:v>Official URL</x:v>
      </x:c>
      <x:c r="F1" s="6" t="str">
        <x:v>What We Use</x:v>
      </x:c>
    </x:row>
    <x:row r="2">
      <x:c r="A2" s="18" t="str">
        <x:v>WAK-2025H1</x:v>
      </x:c>
      <x:c r="B2" s="18" t="str">
        <x:v>Wakkanai Shinkin Bank</x:v>
      </x:c>
      <x:c r="C2" s="18" t="str">
        <x:v>2025-09-30</x:v>
      </x:c>
      <x:c r="D2" s="18" t="str">
        <x:v>2025 First-Half Disclosure</x:v>
      </x:c>
      <x:c r="E2" s="18" t="str">
        <x:v>https://www.shinkin.co.jp/wakashin/assets/pdf/07-disclo/hanki/2025_kamihanki.pdf</x:v>
      </x:c>
      <x:c r="F2" s="18" t="str">
        <x:v>Deposits, loans, reported loan/deposit ratio, reported securities/deposit ratio, ΔEVE, ΔNII, IRRBB capital</x:v>
      </x:c>
    </x:row>
    <x:row r="3">
      <x:c r="A3" s="18" t="str">
        <x:v>KYO-2025</x:v>
      </x:c>
      <x:c r="B3" s="18" t="str">
        <x:v>Kyoto Shinkin Bank</x:v>
      </x:c>
      <x:c r="C3" s="18" t="str">
        <x:v>2025-03-31 / 2025-09-30</x:v>
      </x:c>
      <x:c r="D3" s="18" t="str">
        <x:v>2025 Disclosure (Mar) + Sep 2025 Disclosure</x:v>
      </x:c>
      <x:c r="E3" s="18" t="str">
        <x:v>https://www.kyoto-shinkin.co.jp/about/disclosure/pdf/202503.pdf</x:v>
      </x:c>
      <x:c r="F3" s="18" t="str">
        <x:v>Mar: ΔEVE, ΔNII, IRRBB capital. Sep: loans and securities valuation data.</x:v>
      </x:c>
    </x:row>
    <x:row r="4">
      <x:c r="A4" s="18" t="str">
        <x:v>KYO-2025-SEP</x:v>
      </x:c>
      <x:c r="B4" s="18" t="str">
        <x:v>Kyoto Shinkin Bank</x:v>
      </x:c>
      <x:c r="C4" s="18" t="str">
        <x:v>2025-09-30</x:v>
      </x:c>
      <x:c r="D4" s="18" t="str">
        <x:v>September 2025 Disclosure</x:v>
      </x:c>
      <x:c r="E4" s="18" t="str">
        <x:v>https://www.kyoto-shinkin.co.jp/about/disclosure/pdf/202509-all.pdf</x:v>
      </x:c>
      <x:c r="F4" s="18" t="str">
        <x:v>Loans; valuation difference for other securities and JGBs</x:v>
      </x:c>
    </x:row>
    <x:row r="5">
      <x:c r="A5" s="18" t="str">
        <x:v>SETO-2025</x:v>
      </x:c>
      <x:c r="B5" s="18" t="str">
        <x:v>Seto Shinkin Bank</x:v>
      </x:c>
      <x:c r="C5" s="18" t="str">
        <x:v>2025-03-31</x:v>
      </x:c>
      <x:c r="D5" s="18" t="str">
        <x:v>Setoshin Report 2025</x:v>
      </x:c>
      <x:c r="E5" s="18" t="str">
        <x:v>https://www.setoshin.co.jp/setoshinkin/disclosure/book2025_01/pageindices/index22.html</x:v>
      </x:c>
      <x:c r="F5" s="18" t="str">
        <x:v>ΔEVE, ΔNII, IRRBB capital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>
      <x:c r="A1" s="30" t="str">
        <x:v>Deep Money — Japan Shinkin Banks Master Dataset v0.1</x:v>
      </x:c>
      <x:c r="B1" s="30"/>
      <x:c r="C1" s="30"/>
      <x:c r="D1" s="30"/>
      <x:c r="E1" s="30"/>
      <x:c r="F1" s="30"/>
      <x:c r="G1" s="30"/>
      <x:c r="H1" s="30"/>
    </x:row>
    <x:row r="3">
      <x:c r="A3" s="36" t="str">
        <x:v>Purpose</x:v>
      </x:c>
      <x:c r="B3" s="12" t="str">
        <x:v>Pilot dataset to test whether official shinkin disclosures can support nationwide interest-rate-risk screening.</x:v>
      </x:c>
    </x:row>
    <x:row r="4">
      <x:c r="A4" s="36" t="str">
        <x:v>Core metric</x:v>
      </x:c>
      <x:c r="B4" s="12" t="str">
        <x:v>ΔEVE / IRRBB Capital</x:v>
      </x:c>
    </x:row>
    <x:row r="5">
      <x:c r="A5" s="36" t="str">
        <x:v>Source data</x:v>
      </x:c>
      <x:c r="B5" s="12" t="str">
        <x:v>Hardcoded official disclosure values are shown in blue.</x:v>
      </x:c>
    </x:row>
    <x:row r="6">
      <x:c r="A6" s="36" t="str">
        <x:v>Calculated data</x:v>
      </x:c>
      <x:c r="B6" s="12" t="str">
        <x:v>Formula-derived values are shown in black.</x:v>
      </x:c>
    </x:row>
    <x:row r="7">
      <x:c r="A7" s="36" t="str">
        <x:v>Important</x:v>
      </x:c>
      <x:c r="B7" s="12" t="str">
        <x:v>Do not compare values across different reference dates without flagging the mismatch.</x:v>
      </x:c>
    </x:row>
    <x:row r="8">
      <x:c r="A8" s="36" t="str">
        <x:v>Current sample</x:v>
      </x:c>
      <x:c r="B8" s="12" t="str">
        <x:v>Wakkanai / Kyoto / Seto</x:v>
      </x:c>
    </x:row>
    <x:row r="9">
      <x:c r="A9" s="36" t="str">
        <x:v>Next step</x:v>
      </x:c>
      <x:c r="B9" s="12" t="str">
        <x:v>Validate the schema on 2 more institutions, then expand the nationwide screening layer.</x:v>
      </x:c>
    </x:row>
  </x:sheetData>
  <x:mergeCells>
    <x:mergeCell ref="A1:H1"/>
  </x:mergeCells>
  <x:pageMargins left="0.7" right="0.7" top="0.75" bottom="0.75" header="0.3" footer="0.3"/>
</x:worksheet>
</file>